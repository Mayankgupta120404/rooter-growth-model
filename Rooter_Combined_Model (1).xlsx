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Index" sheetId="1" state="visible" r:id="rId3"/>
    <sheet name="Q1 — Inputs" sheetId="2" state="visible" r:id="rId4"/>
    <sheet name="Q1 — BaseCase" sheetId="3" state="visible" r:id="rId5"/>
    <sheet name="Q1 — Scenarios" sheetId="4" state="visible" r:id="rId6"/>
    <sheet name="Q1 — StressTest" sheetId="5" state="visible" r:id="rId7"/>
    <sheet name="Q2 — Inputs" sheetId="6" state="visible" r:id="rId8"/>
    <sheet name="Q2 — Diagnosis" sheetId="7" state="visible" r:id="rId9"/>
    <sheet name="Q2 — RewardFramework" sheetId="8" state="visible" r:id="rId10"/>
    <sheet name="Q2 — NonMonetary" sheetId="9" state="visible" r:id="rId11"/>
    <sheet name="Q2 — StressTest" sheetId="10" state="visible" r:id="rId12"/>
    <sheet name="AI Prompt Log"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<sst xmlns="http://schemas.openxmlformats.org/spreadsheetml/2006/main" count="322" uniqueCount="297">
  <si>
    <t xml:space="preserve">ROOTER GROWTH STRATEGY — COMBINED ASSIGNMENT MODEL</t>
  </si>
  <si>
    <t xml:space="preserve">Sheet</t>
  </si>
  <si>
    <t xml:space="preserve">Covers</t>
  </si>
  <si>
    <t xml:space="preserve">Question</t>
  </si>
  <si>
    <t xml:space="preserve">Parts</t>
  </si>
  <si>
    <t xml:space="preserve">Q1 — Inputs</t>
  </si>
  <si>
    <t xml:space="preserve">Given numbers + Lever assumptions</t>
  </si>
  <si>
    <t xml:space="preserve">Q1</t>
  </si>
  <si>
    <t xml:space="preserve">Setup</t>
  </si>
  <si>
    <t xml:space="preserve">Q1 — BaseCase</t>
  </si>
  <si>
    <t xml:space="preserve">Monthly &amp; Annual P&amp;L baseline</t>
  </si>
  <si>
    <t xml:space="preserve">Part A</t>
  </si>
  <si>
    <t xml:space="preserve">Q1 — Scenarios</t>
  </si>
  <si>
    <t xml:space="preserve">Lever 1 (Frequency) vs Lever 2 (AOV)</t>
  </si>
  <si>
    <t xml:space="preserve">Part A + B</t>
  </si>
  <si>
    <t xml:space="preserve">Q1 — StressTest</t>
  </si>
  <si>
    <t xml:space="preserve">Sensitivity tables + critical assumption</t>
  </si>
  <si>
    <t xml:space="preserve">Part C</t>
  </si>
  <si>
    <t xml:space="preserve">Q2 — Inputs</t>
  </si>
  <si>
    <t xml:space="preserve">Tournament params + segment assumptions</t>
  </si>
  <si>
    <t xml:space="preserve">Q2</t>
  </si>
  <si>
    <t xml:space="preserve">Q2 — Diagnosis</t>
  </si>
  <si>
    <t xml:space="preserve">Negative feedback loop + psychology</t>
  </si>
  <si>
    <t xml:space="preserve">Q2 — RewardFramework</t>
  </si>
  <si>
    <t xml:space="preserve">Budget allocation across 5 tiers</t>
  </si>
  <si>
    <t xml:space="preserve">Part B</t>
  </si>
  <si>
    <t xml:space="preserve">Q2 — NonMonetary</t>
  </si>
  <si>
    <t xml:space="preserve">₹0 reward mechanisms (specific)</t>
  </si>
  <si>
    <t xml:space="preserve">Q2 — StressTest</t>
  </si>
  <si>
    <t xml:space="preserve">Same-winner repeat scenario + fixes</t>
  </si>
  <si>
    <t xml:space="preserve">Part D</t>
  </si>
  <si>
    <t xml:space="preserve">AI Prompt Log</t>
  </si>
  <si>
    <t xml:space="preserve">All prompts + tools used for this model</t>
  </si>
  <si>
    <t xml:space="preserve">Both</t>
  </si>
  <si>
    <t xml:space="preserve">Disclosure</t>
  </si>
  <si>
    <t xml:space="preserve">Color Legend:</t>
  </si>
  <si>
    <t xml:space="preserve">🔵 Blue text = Hardcoded inputs (you can change these)</t>
  </si>
  <si>
    <t xml:space="preserve">⬛ Black text = Formula / calculated values</t>
  </si>
  <si>
    <t xml:space="preserve">🟡 Yellow fill = Key assumptions requiring attention</t>
  </si>
  <si>
    <t xml:space="preserve">🟢 Green text = Cross-sheet references</t>
  </si>
  <si>
    <t xml:space="preserve">Q1 — ROOTER SHOP: INPUT PARAMETERS</t>
  </si>
  <si>
    <t xml:space="preserve">GIVEN DATA (from assignment)</t>
  </si>
  <si>
    <t xml:space="preserve">Monthly Active Users (MAU)</t>
  </si>
  <si>
    <t xml:space="preserve">As stated in assignment</t>
  </si>
  <si>
    <t xml:space="preserve">Avg Orders per User per Month</t>
  </si>
  <si>
    <t xml:space="preserve">Given baseline frequency</t>
  </si>
  <si>
    <t xml:space="preserve">Average Order Value (AOV)</t>
  </si>
  <si>
    <t xml:space="preserve">Given baseline ticket size</t>
  </si>
  <si>
    <t xml:space="preserve">Gross Margin %</t>
  </si>
  <si>
    <t xml:space="preserve">Given — very thin margin</t>
  </si>
  <si>
    <t xml:space="preserve">Net Profit %</t>
  </si>
  <si>
    <t xml:space="preserve">Given</t>
  </si>
  <si>
    <t xml:space="preserve">LEVER 1 ASSUMPTIONS — Increase Purchase Frequency</t>
  </si>
  <si>
    <t xml:space="preserve">Target Frequency Increase</t>
  </si>
  <si>
    <t xml:space="preserve">WHY: Digital goods (gift cards/gaming currency) have natural repeat-buy cycles. 20% lift (1.6→1.92 orders/month) is conservative for a targeted email + push campaign over 2-3 months. Comparable campaigns in D2C gaming show 15–25% lifts.</t>
  </si>
  <si>
    <t xml:space="preserve">Campaign Cost (monthly)</t>
  </si>
  <si>
    <t xml:space="preserve">WHY: Includes push notifications, email automation, and retargeting ads. ₹5L/month is lean for 10L MAU — roughly ₹0.50/user, typical for performance marketing in gaming.</t>
  </si>
  <si>
    <t xml:space="preserve">User Segment Targeted (%)</t>
  </si>
  <si>
    <t xml:space="preserve">WHY: Targeting only 30% (lapsed/mid-frequency users) to avoid over-communication. Focusing on users with 1-2 orders/month who have headroom to buy more.</t>
  </si>
  <si>
    <t xml:space="preserve">LEVER 2 ASSUMPTIONS — Increase AOV</t>
  </si>
  <si>
    <t xml:space="preserve">Target AOV Increase</t>
  </si>
  <si>
    <t xml:space="preserve">WHY: Bundle pricing (e.g., ₹500 UC + ₹300 gift card combo) and cross-sell prompts. 15% lift (₹1500→₹1725) is achievable via UI nudges. Higher denominations (₹2K, ₹5K packs) anchor the upsell.</t>
  </si>
  <si>
    <t xml:space="preserve">WHY: Primarily a UI/product change (bundle page, upsell widget) — lower execution cost than acquisition. One-time dev + A/B test infra ≈ ₹2-3L, ongoing ≈ ₹1L/month.</t>
  </si>
  <si>
    <t xml:space="preserve">Conversion Rate of Upsell</t>
  </si>
  <si>
    <t xml:space="preserve">WHY: Only 10% of users shown a bundle will upgrade. Conservative — industry average for checkout upsell is 8-15%. This assumption is the stress-test candidate.</t>
  </si>
  <si>
    <t xml:space="preserve">Q1 PART A — BASE CASE P&amp;L (BEFORE ANY LEVER)</t>
  </si>
  <si>
    <t xml:space="preserve">Metric</t>
  </si>
  <si>
    <t xml:space="preserve">Monthly</t>
  </si>
  <si>
    <t xml:space="preserve">Annual</t>
  </si>
  <si>
    <t xml:space="preserve">MAU</t>
  </si>
  <si>
    <t xml:space="preserve">Avg Orders / User / Month</t>
  </si>
  <si>
    <t xml:space="preserve">─── VOLUME ───</t>
  </si>
  <si>
    <t xml:space="preserve">Total Orders</t>
  </si>
  <si>
    <t xml:space="preserve">Total Revenue</t>
  </si>
  <si>
    <t xml:space="preserve">─── PROFITABILITY ───</t>
  </si>
  <si>
    <t xml:space="preserve">Gross Profit</t>
  </si>
  <si>
    <t xml:space="preserve">Net Profit</t>
  </si>
  <si>
    <t xml:space="preserve">Key Insight: At 5% GM, every ₹1 of revenue generates ₹0.05 gross profit. Incremental levers must overcome campaign costs to deliver net positive impact.</t>
  </si>
  <si>
    <t xml:space="preserve">Net Profit at 3% → ₹0.03 per ₹1 revenue. Margin is thin — volume + efficiency are the only real levers here.</t>
  </si>
  <si>
    <t xml:space="preserve">Q1 PARTS A + B — LEVER COMPARISON: FREQUENCY vs AOV</t>
  </si>
  <si>
    <t xml:space="preserve">Base Case</t>
  </si>
  <si>
    <t xml:space="preserve">Lever 1: Frequency ↑</t>
  </si>
  <si>
    <t xml:space="preserve">Lever 2: AOV ↑</t>
  </si>
  <si>
    <t xml:space="preserve">Winner?</t>
  </si>
  <si>
    <t xml:space="preserve">Avg Orders/User/Month</t>
  </si>
  <si>
    <t xml:space="preserve">AOV (₹)</t>
  </si>
  <si>
    <t xml:space="preserve">Total Revenue (₹)</t>
  </si>
  <si>
    <t xml:space="preserve">Gross Profit (₹)</t>
  </si>
  <si>
    <t xml:space="preserve">Campaign Cost (₹/month)</t>
  </si>
  <si>
    <t xml:space="preserve">Net Profit BEFORE Campaign (₹)</t>
  </si>
  <si>
    <t xml:space="preserve">Net Profit AFTER Campaign (₹)</t>
  </si>
  <si>
    <t xml:space="preserve">Incremental Net Profit vs Base (₹)</t>
  </si>
  <si>
    <t xml:space="preserve">—</t>
  </si>
  <si>
    <t xml:space="preserve">ROI on Campaign</t>
  </si>
  <si>
    <t xml:space="preserve">PART B — STRATEGIC RECOMMENDATION</t>
  </si>
  <si>
    <t xml:space="preserve">Recommended Lever:</t>
  </si>
  <si>
    <t xml:space="preserve">Lever 2 — AOV Increase</t>
  </si>
  <si>
    <t xml:space="preserve">WHY: Lower campaign cost (₹3L vs ₹5L), no reliance on behavioural change in short 2-3 month window. Digital goods have natural upsell path (₹500→₹1000 UC, bundle packs). Product-led change (UI/UX) vs. acquisition-heavy frequency play.</t>
  </si>
  <si>
    <t xml:space="preserve">Nature of Product:</t>
  </si>
  <si>
    <t xml:space="preserve">Digital gift cards / gaming currency</t>
  </si>
  <si>
    <t xml:space="preserve">One-time purchases with low emotional stickiness. Hard to force frequency. But upsell within an active session (when user intent is high) is naturally effective.</t>
  </si>
  <si>
    <t xml:space="preserve">2-3 Month Window:</t>
  </si>
  <si>
    <t xml:space="preserve">Favors AOV lever</t>
  </si>
  <si>
    <t xml:space="preserve">Frequency change requires habit formation (60-90 days minimum). AOV lever activates the moment UI changes go live — faster payback.</t>
  </si>
  <si>
    <t xml:space="preserve">Risk:</t>
  </si>
  <si>
    <t xml:space="preserve">Upsell conversion rate</t>
  </si>
  <si>
    <t xml:space="preserve">If &lt;5% users upgrade (vs assumed 10%), ROI flips negative. Validate via A/B test first (see StressTest sheet).</t>
  </si>
  <si>
    <t xml:space="preserve">Q1 PART C — STRESS TEST: Critical Assumption Analysis</t>
  </si>
  <si>
    <t xml:space="preserve">CRITICAL ASSUMPTION: Upsell Conversion Rate (currently assumed = 10%)</t>
  </si>
  <si>
    <t xml:space="preserve">If this assumption is wrong — i.e., users don't upgrade to larger bundles — Lever 2's incremental profit collapses, and the campaign cost becomes a pure loss.</t>
  </si>
  <si>
    <t xml:space="preserve">Upsell Conv. Rate</t>
  </si>
  <si>
    <t xml:space="preserve">AOV Achieved (₹)</t>
  </si>
  <si>
    <t xml:space="preserve">Net Profit After Campaign (₹)</t>
  </si>
  <si>
    <t xml:space="preserve">Incremental vs Base (₹)</t>
  </si>
  <si>
    <t xml:space="preserve">Verdict</t>
  </si>
  <si>
    <t xml:space="preserve">HOW TO VALIDATE BEFORE COMMITTING RESOURCES</t>
  </si>
  <si>
    <t xml:space="preserve">Step 1 — A/B Test</t>
  </si>
  <si>
    <t xml:space="preserve">Run a 2-week A/B test with 5% of users. Show bundle/upsell to Group A, default to Group B. Measure actual conversion rate.</t>
  </si>
  <si>
    <t xml:space="preserve">Step 2 — Cohort Analysis</t>
  </si>
  <si>
    <t xml:space="preserve">Check historical data: do users who buy ₹1000+ packs already exist? What % of current orders are already at higher AOV? Reveals natural ceiling.</t>
  </si>
  <si>
    <t xml:space="preserve">Step 3 — Break-even Calc</t>
  </si>
  <si>
    <t xml:space="preserve">From this table: break-even is at ~5-6% conversion. If A/B test shows &gt;6%, proceed. If &lt;6%, pivot to Lever 1 or hybrid approach.</t>
  </si>
  <si>
    <t xml:space="preserve">Step 4 — Timing</t>
  </si>
  <si>
    <t xml:space="preserve">A/B test takes 2 weeks → decision by end of Week 2 → 6 weeks left in 2-month window for full rollout. Timing is tight but viable.</t>
  </si>
  <si>
    <t xml:space="preserve">Q2 — BGMI TOURNAMENT: INPUT PARAMETERS</t>
  </si>
  <si>
    <t xml:space="preserve">GIVEN DATA</t>
  </si>
  <si>
    <t xml:space="preserve">Total Weekly Participants</t>
  </si>
  <si>
    <t xml:space="preserve">Current Winners Rewarded</t>
  </si>
  <si>
    <t xml:space="preserve">Top 100 only</t>
  </si>
  <si>
    <t xml:space="preserve">Weekly Reward Budget (₹)</t>
  </si>
  <si>
    <t xml:space="preserve">Given — fixed constraint</t>
  </si>
  <si>
    <t xml:space="preserve">Current Budget/User (₹)</t>
  </si>
  <si>
    <t xml:space="preserve">₹0.50 per user — insufficient for pure monetary</t>
  </si>
  <si>
    <t xml:space="preserve">% Users NOT winning</t>
  </si>
  <si>
    <t xml:space="preserve">99.9% feel unrewarded every week</t>
  </si>
  <si>
    <t xml:space="preserve">SEGMENT ASSUMPTIONS (Part B)</t>
  </si>
  <si>
    <t xml:space="preserve">Tier 1 — Top 100 (Elite Winners)</t>
  </si>
  <si>
    <t xml:space="preserve">Given — unchanged from current format</t>
  </si>
  <si>
    <t xml:space="preserve">Tier 2 — Top 101–1000 (Near-Winners)</t>
  </si>
  <si>
    <t xml:space="preserve">Top 1% minus elite — strong performers, high frustration if ignored</t>
  </si>
  <si>
    <t xml:space="preserve">Tier 3 — Top 1001–10000 (Aspirational)</t>
  </si>
  <si>
    <t xml:space="preserve">Top 10% — growing players with realistic path to Tier 2</t>
  </si>
  <si>
    <t xml:space="preserve">Tier 4 — Top 10001–50000 (Participators)</t>
  </si>
  <si>
    <t xml:space="preserve">Middle bulk — need encouragement, not competition</t>
  </si>
  <si>
    <t xml:space="preserve">Tier 5 — Bottom 50001–100000 (Casual)</t>
  </si>
  <si>
    <t xml:space="preserve">High churn risk — fun-seekers, need non-monetary hooks</t>
  </si>
  <si>
    <t xml:space="preserve">Segment Total Check</t>
  </si>
  <si>
    <t xml:space="preserve">Must equal B4 (100,000) — validation check</t>
  </si>
  <si>
    <t xml:space="preserve">BUDGET ALLOCATION ASSUMPTIONS (Part B)</t>
  </si>
  <si>
    <t xml:space="preserve">Tier 1 — Elite Budget Allocation %</t>
  </si>
  <si>
    <t xml:space="preserve">60% to Top 100: maintains competitive integrity, each gets ₹300</t>
  </si>
  <si>
    <t xml:space="preserve">Tier 2 — Near-Winner Allocation %</t>
  </si>
  <si>
    <t xml:space="preserve">20% to Top 101-1000: ₹11.1 each — enough to feel recognised</t>
  </si>
  <si>
    <t xml:space="preserve">Tier 3 — Aspirational Allocation %</t>
  </si>
  <si>
    <t xml:space="preserve">12% to next 9000: ₹6.7 each — small but tangible</t>
  </si>
  <si>
    <t xml:space="preserve">Tier 4 — Participator Allocation %</t>
  </si>
  <si>
    <t xml:space="preserve">5% to 40K users: ₹6.25 each — nominal, primary reward is non-monetary</t>
  </si>
  <si>
    <t xml:space="preserve">Tier 5 — Casual Allocation %</t>
  </si>
  <si>
    <t xml:space="preserve">3% to 50K users: ₹3 each — symbolic, non-monetary is the real reward</t>
  </si>
  <si>
    <t xml:space="preserve">Budget Alloc Check (must = 100%)</t>
  </si>
  <si>
    <t xml:space="preserve">Must equal 100% — validation check</t>
  </si>
  <si>
    <t xml:space="preserve">Q2 PART A — NEGATIVE FEEDBACK LOOP: DIAGNOSIS</t>
  </si>
  <si>
    <t xml:space="preserve">THE FEEDBACK LOOP — STEP BY STEP</t>
  </si>
  <si>
    <t xml:space="preserve">Step 1 — Low Win Probability</t>
  </si>
  <si>
    <t xml:space="preserve">Win probability = 100/100,000 = 0.001%. Vroom's Expectancy Theory: Motivation = Expectancy × Instrumentality × Valence. When Expectancy ≈ 0, motivation collapses regardless of reward size.</t>
  </si>
  <si>
    <t xml:space="preserve">Step 2 — Effort Feels Futile</t>
  </si>
  <si>
    <t xml:space="preserve">Player spends 20-30 min on their match, submits scorecard, sees rank #4,521. No reward, no acknowledgement. Seligman's Learned Helplessness: repeated failure with no perceived control leads to psychological disengagement.</t>
  </si>
  <si>
    <t xml:space="preserve">Step 3 — Negative Emotion Dominates</t>
  </si>
  <si>
    <t xml:space="preserve">Core emotion: SHAME + HUMILIATION (not just disappointment). Being ranked publicly against 99,999 others and failing creates social comparison anxiety — especially in competitive gaming culture.</t>
  </si>
  <si>
    <t xml:space="preserve">Step 4 — Zero Progress Markers</t>
  </si>
  <si>
    <t xml:space="preserve">Current system has no intermediate milestone. User sees the same 0 reward week after week. No sense of improvement, no 'closing the gap' signal. Progress Theory (Teresa Amabile): small wins drive engagement — current format has none.</t>
  </si>
  <si>
    <t xml:space="preserve">Step 5 — Churn Decision</t>
  </si>
  <si>
    <t xml:space="preserve">After 2-3 failed weeks, user concludes: 'This game/tournament is not for me.' Cognitive dissonance resolved by quitting rather than re-evaluating skill. Weekly retention drops.</t>
  </si>
  <si>
    <t xml:space="preserve">Step 6 — The Loop Reinforces</t>
  </si>
  <si>
    <t xml:space="preserve">As casual users quit, leaderboard becomes increasingly dominated by pros. Win probability for remaining users drops further. Loop accelerates.</t>
  </si>
  <si>
    <t xml:space="preserve">FRAMEWORKS USED</t>
  </si>
  <si>
    <t xml:space="preserve">Seligman's Learned Helplessness (1967)</t>
  </si>
  <si>
    <t xml:space="preserve">Repeated uncontrollable failure → user stops trying. Applied: 99,900 users lose every week with no control over outcome → disengage.</t>
  </si>
  <si>
    <t xml:space="preserve">Vroom's Expectancy Theory (1964)</t>
  </si>
  <si>
    <t xml:space="preserve">Motivation = E × I × V. Win prob 0.001% → E=0 → Total motivation = 0. Even ₹50K prize can't fix near-zero expectancy.</t>
  </si>
  <si>
    <t xml:space="preserve">Amabile's Progress Principle (2011)</t>
  </si>
  <si>
    <t xml:space="preserve">Perception of making progress is the #1 driver of engagement. Current format shows zero progress for 99,900 users.</t>
  </si>
  <si>
    <t xml:space="preserve">Self-Determination Theory (Deci &amp; Ryan)</t>
  </si>
  <si>
    <t xml:space="preserve">Users need Autonomy, Competence, Relatedness. Current format attacks all three: no control, no skill recognition, no community signal.</t>
  </si>
  <si>
    <t xml:space="preserve">Q2 PART B — 5-TIER REWARD FRAMEWORK (₹50,000 Budget)</t>
  </si>
  <si>
    <t xml:space="preserve">Tier</t>
  </si>
  <si>
    <t xml:space="preserve">Users</t>
  </si>
  <si>
    <t xml:space="preserve">Budget Alloc %</t>
  </si>
  <si>
    <t xml:space="preserve">Budget (₹)</t>
  </si>
  <si>
    <t xml:space="preserve">Per-User Reward (₹)</t>
  </si>
  <si>
    <t xml:space="preserve">What They Receive</t>
  </si>
  <si>
    <t xml:space="preserve">Behavior Reinforced</t>
  </si>
  <si>
    <t xml:space="preserve">T1: Elite (Rank 1–100)</t>
  </si>
  <si>
    <t xml:space="preserve">₹300 cash + 'BGMI Champion' verified badge + Rooter Pro subscription (1 month) + Permanent leaderboard hall of fame entry</t>
  </si>
  <si>
    <t xml:space="preserve">Competitive excellence, public status, repeat participation to defend title</t>
  </si>
  <si>
    <t xml:space="preserve">T2: Near-Winner (Rank 101–1000)</t>
  </si>
  <si>
    <t xml:space="preserve">₹11 cash + 'Top 1%' digital rank card (shareable to WhatsApp/Instagram) + Priority registration slot for next week</t>
  </si>
  <si>
    <t xml:space="preserve">Aspiration to reach T1, reduces frustration of 'almost winning', creates weekly habit</t>
  </si>
  <si>
    <t xml:space="preserve">T3: Aspirational (Rank 1001–10000)</t>
  </si>
  <si>
    <t xml:space="preserve">₹6.7 cash + Personalised 'Tournament DNA' report (AI-generated: your best weapon, kill trend, improvement score) + 'Top 10%' badge</t>
  </si>
  <si>
    <t xml:space="preserve">Progress visibility, skill growth signal, identity as 'improving player'</t>
  </si>
  <si>
    <t xml:space="preserve">T4: Participator (Rank 10001–50000)</t>
  </si>
  <si>
    <t xml:space="preserve">₹6.25 Rooter coins (redeemable in store) + Friends Mini-League invitation (compete only vs your squad) + Weekly streak badge</t>
  </si>
  <si>
    <t xml:space="preserve">Community belonging, reduced social comparison anxiety, streak maintenance</t>
  </si>
  <si>
    <t xml:space="preserve">T5: Casual (Rank 50001–100000)</t>
  </si>
  <si>
    <t xml:space="preserve">₹3 scratch-card (gamified reveal of small discount/coin) + 'Participation Streak' counter + 'You ranked higher than X players!' message</t>
  </si>
  <si>
    <t xml:space="preserve">Fun over competition, loss aversion (streak break), relative rank positivity</t>
  </si>
  <si>
    <t xml:space="preserve">TOTAL</t>
  </si>
  <si>
    <t xml:space="preserve">Q2 PART C — NON-MONETARY REWARD MECHANISMS (₹0 Budget)</t>
  </si>
  <si>
    <t xml:space="preserve">Mechanism</t>
  </si>
  <si>
    <t xml:space="preserve">How It Works</t>
  </si>
  <si>
    <t xml:space="preserve">Psychology Exploited</t>
  </si>
  <si>
    <t xml:space="preserve">Target Tier</t>
  </si>
  <si>
    <t xml:space="preserve">Tournament DNA Report</t>
  </si>
  <si>
    <t xml:space="preserve">After each week, every player (Tier 3+) gets an AI-generated 1-page report: 'Your best weapon this week was M416. Your kill consistency improved 12% vs last week. You rank in the top 23% for damage per match.' Generated automatically from OCR scorecard data.</t>
  </si>
  <si>
    <t xml:space="preserve">Progress Principle (Amabile): Seeing quantified improvement creates intrinsic motivation even without a prize. Identity-based — player becomes 'the one who's getting better'.</t>
  </si>
  <si>
    <t xml:space="preserve">T3, T4</t>
  </si>
  <si>
    <t xml:space="preserve">Shareable Rank Identity Card</t>
  </si>
  <si>
    <t xml:space="preserve">Auto-generated image card: 'I ranked Top 2% in Rooter BGMI Week 34 🎯'. Styled like a stats card. One-tap share to Instagram Stories, WhatsApp. Card shows kill stats, accuracy, improvement badge.</t>
  </si>
  <si>
    <t xml:space="preserve">Social Identity Theory: Public performance identity drives return visits. Social proof loop — friends see the card, discover the tournament. Zero cost, viral acquisition channel.</t>
  </si>
  <si>
    <t xml:space="preserve">T2, T3</t>
  </si>
  <si>
    <t xml:space="preserve">Friends Mini-League</t>
  </si>
  <si>
    <t xml:space="preserve">Every user can create a private group of up to 10 friends. Mini-leaderboard only within that group. Win probability = 1/10, not 1/100,000. Weekly winner gets a 'Squad King' title on their profile.</t>
  </si>
  <si>
    <t xml:space="preserve">Reduces social comparison anxiety. Autonomy (you choose your competition set). 10x higher win probability restores Expectancy in Vroom's model. Relatedness need met.</t>
  </si>
  <si>
    <t xml:space="preserve">T4, T5</t>
  </si>
  <si>
    <t xml:space="preserve">Streak Counter + Loss Aversion Hook</t>
  </si>
  <si>
    <t xml:space="preserve">'You've played 4 weeks in a row. Miss next week and your streak resets.' Shown prominently in app. After 3 weeks, streak frame appears on profile avatar.</t>
  </si>
  <si>
    <t xml:space="preserve">Loss Aversion (Kahneman): Fear of losing a streak is stronger than desire to gain. Streaks cost nothing but drive weekly return visits. Duolingo's core retention mechanic.</t>
  </si>
  <si>
    <t xml:space="preserve">Skill Milestone Badges (Non-Generic)</t>
  </si>
  <si>
    <t xml:space="preserve">Not generic badges. Specific unlocks: 'Sniper Specialist' (top 10% accuracy with bolt-action rifles for 3 consecutive weeks), 'Clutch King' (3+ solo-squad kills in a single match, verified by OCR). Each badge shows exact achievement.</t>
  </si>
  <si>
    <t xml:space="preserve">Competence need (Self-Determination Theory). Specific badges create concrete goals. Players actively try to hit the badge criteria — drives engagement quality, not just quantity.</t>
  </si>
  <si>
    <t xml:space="preserve">'You Beat X Players' Relative Rank Message</t>
  </si>
  <si>
    <t xml:space="preserve">Instead of showing absolute rank (#47,832), show: 'You outperformed 52,168 players this week — that's more than last week!' Reframes failure as relative success.</t>
  </si>
  <si>
    <t xml:space="preserve">Positive reframing reduces shame response. Directional progress signal even for bottom-half users. Small but measurable — cost: one UX copy change.</t>
  </si>
  <si>
    <t xml:space="preserve">T5</t>
  </si>
  <si>
    <t xml:space="preserve">Pro League Promotion Pathway</t>
  </si>
  <si>
    <t xml:space="preserve">Visible on-screen: 'Rank Top 1000 for 3 consecutive weeks → Auto-qualify for Rooter Pro League (higher prizes).' Tier 3 users have a visible 3-week path to Tier 2 status.</t>
  </si>
  <si>
    <t xml:space="preserve">Goal Gradient Effect: As users approach a milestone, effort accelerates. Visible pathway converts Tier 3 from 'passive participants' to 'active aspirants'.</t>
  </si>
  <si>
    <t xml:space="preserve">T3</t>
  </si>
  <si>
    <t xml:space="preserve">Q2 PART D — STRESS TEST: Same Winners Repeat Every Week</t>
  </si>
  <si>
    <t xml:space="preserve">PSYCHOLOGICAL IMPACT ON 99,900 USERS</t>
  </si>
  <si>
    <t xml:space="preserve">Week</t>
  </si>
  <si>
    <t xml:space="preserve">Event</t>
  </si>
  <si>
    <t xml:space="preserve">Psychological Impact on 99,900</t>
  </si>
  <si>
    <t xml:space="preserve">Week 1</t>
  </si>
  <si>
    <t xml:space="preserve">Same 100 winners emerge</t>
  </si>
  <si>
    <t xml:space="preserve">Mild frustration — users assume it's luck, will try again</t>
  </si>
  <si>
    <t xml:space="preserve">Week 2</t>
  </si>
  <si>
    <t xml:space="preserve">Same 100 win again</t>
  </si>
  <si>
    <t xml:space="preserve">Pattern recognition begins. 'These are pros.' Expectancy drops. T2-T3 users feel the 'gap' is structural.</t>
  </si>
  <si>
    <t xml:space="preserve">Week 3</t>
  </si>
  <si>
    <t xml:space="preserve">Same 100 win for 3rd time</t>
  </si>
  <si>
    <t xml:space="preserve">Learned Helplessness fully activated. 'I can never win this.' T4-T5 users stop competing seriously. Participation numbers up but engagement quality drops.</t>
  </si>
  <si>
    <t xml:space="preserve">Week 4</t>
  </si>
  <si>
    <t xml:space="preserve">Same 100 confirmed dominant</t>
  </si>
  <si>
    <t xml:space="preserve">Social proof reversal: the DNA Reports and rank cards feel hollow. 'What's the point of being Top 15% if the same 100 pros always win?' Framework's non-monetary layer loses credibility.</t>
  </si>
  <si>
    <t xml:space="preserve">DOES THE FRAMEWORK SURVIVE?</t>
  </si>
  <si>
    <t xml:space="preserve">Partial Survival — Lower tiers (T4, T5) survive via non-monetary hooks (streaks, mini-leagues, DNA reports). But T2-T3 framework fails: near-winners who never breakthrough will disengage despite rank cards.</t>
  </si>
  <si>
    <t xml:space="preserve">3 STRUCTURAL FIXES</t>
  </si>
  <si>
    <t xml:space="preserve">Fix 1 — Skill Brackets</t>
  </si>
  <si>
    <t xml:space="preserve">Create 3 parallel brackets: Bronze (new users, &lt;10 games), Silver (11-50 games), Gold (50+ games). Each bracket has its own Top 100. A Bronze player can be a champion in their bracket. Win probability becomes 100/33,000 per bracket — 3x higher than before.</t>
  </si>
  <si>
    <t xml:space="preserve">Fix 2 — Weekly Wildcard Slot</t>
  </si>
  <si>
    <t xml:space="preserve">Reserve 1 spot in Top 100 rewards for a randomly selected user from Rank 101-10,000 who showed the highest improvement week-over-week. This creates a 'luck + merit' pathway. Even a Rank 500 player can dream of the wildcard. Pure lottery psychology.</t>
  </si>
  <si>
    <t xml:space="preserve">Fix 3 — Pro League Separation</t>
  </si>
  <si>
    <t xml:space="preserve">After Week 4, any user who wins Top 100 twice enters 'Rooter Pro League' — a separate track with different rewards. Main tournament clears automatically. Fresh competition every month. Top 100 is no longer dominated by the same players.</t>
  </si>
  <si>
    <t xml:space="preserve">AI USAGE DISCLOSURE — Prompts + Tools Used</t>
  </si>
  <si>
    <t xml:space="preserve">#</t>
  </si>
  <si>
    <t xml:space="preserve">Tool / Model</t>
  </si>
  <si>
    <t xml:space="preserve">Task</t>
  </si>
  <si>
    <t xml:space="preserve">Prompt Used</t>
  </si>
  <si>
    <t xml:space="preserve">Output Generated</t>
  </si>
  <si>
    <t xml:space="preserve">1</t>
  </si>
  <si>
    <t xml:space="preserve">Claude (Anthropic)
Claude Sonnet 4</t>
  </si>
  <si>
    <t xml:space="preserve">Q1 — Growth Lever Analysis</t>
  </si>
  <si>
    <t xml:space="preserve">You are a growth analyst at Rooter Shop. The business has: MAU 1M, Avg Orders/User 1.6, AOV ₹1500, GM 5%, Net Profit 3%. Leadership wants to grow via (A) increasing frequency or (B) increasing AOV over 2-3 months. Build a profit impact model for both levers. State all assumptions and justify why. Then recommend one lever based on product category and time window. Finally, identify the single most critical assumption and how to validate it before committing budget.</t>
  </si>
  <si>
    <t xml:space="preserve">Q1 Parts A, B, C — full analysis, lever comparison, stress test, break-even framework used in Sheets Q1—Inputs, Q1—BaseCase, Q1—Scenarios, Q1—StressTest</t>
  </si>
  <si>
    <t xml:space="preserve">2</t>
  </si>
  <si>
    <t xml:space="preserve">Q2 — BGMI Tournament Diagnosis</t>
  </si>
  <si>
    <t xml:space="preserve">You are a product analyst at a gaming startup. 1,00,000 users participate in a weekly BGMI tournament. Only Top 100 win rewards. Weekly retention is dropping. Explain exactly why the current format creates a negative feedback loop using behavioral psychology frameworks. What is the core emotion driving churn? Apply Seligman's Learned Helplessness, Vroom's Expectancy Theory, and Amabile's Progress Principle.</t>
  </si>
  <si>
    <t xml:space="preserve">Q2 Part A — Diagnosis framework, 6-step loop, 4 psychological frameworks used in Q2—Diagnosis sheet</t>
  </si>
  <si>
    <t xml:space="preserve">3</t>
  </si>
  <si>
    <t xml:space="preserve">Q2 — Reward Framework Design</t>
  </si>
  <si>
    <t xml:space="preserve">Design a 5-tier reward framework for 1,00,000 BGMI tournament users with a budget of ₹50,000/week. Segment users into tiers by rank, state what each tier receives (monetary + non-monetary), justify the budget split, and explain what behavior each reward is designed to reinforce. The framework must maintain Top 100 competitive integrity while maximising the number of users who feel rewarded.</t>
  </si>
  <si>
    <t xml:space="preserve">Q2 Part B — 5-tier segmentation, budget allocation percentages, reward descriptions used in Q2—Inputs and Q2—RewardFramework sheets</t>
  </si>
  <si>
    <t xml:space="preserve">4</t>
  </si>
  <si>
    <t xml:space="preserve">Q2 — Non-Monetary Mechanisms</t>
  </si>
  <si>
    <t xml:space="preserve">₹50,000 across 1,00,000 users = ₹0.50/user. Design non-monetary reward mechanisms that make users feel rewarded without any budget. Be highly specific — no generic badge lists. Each mechanism must name the psychological principle it exploits, which user tier it targets, and exactly how it works in the product.</t>
  </si>
  <si>
    <t xml:space="preserve">Q2 Part C — 7 specific non-monetary mechanisms with psychology used in Q2—NonMonetary sheet</t>
  </si>
  <si>
    <t xml:space="preserve">5</t>
  </si>
  <si>
    <t xml:space="preserve">Q2 — Stress Test (Same Winners)</t>
  </si>
  <si>
    <t xml:space="preserve">Your BGMI tournament framework is live for 4 weeks. The same 100 users win every week. Walk through the psychological impact on the 99,900 users week by week. Does the framework survive? If not, provide 3 structural fixes that prevent the same-winner lock-in problem.</t>
  </si>
  <si>
    <t xml:space="preserve">Q2 Part D — Week-by-week psychological impact, framework survivability verdict, 3 structural fixes used in Q2—StressTest sheet</t>
  </si>
  <si>
    <t xml:space="preserve">6</t>
  </si>
  <si>
    <t xml:space="preserve">Excel Model Construction</t>
  </si>
  <si>
    <t xml:space="preserve">Build a professional multi-sheet Excel model combining Q1 and Q2 analysis. Use industry-standard color coding (blue=inputs, black=formulas, green=cross-sheet, yellow=assumptions). Zero formula errors. Include: Index sheet, Q1 Inputs/BaseCase/Scenarios/StressTest, Q2 Inputs/Diagnosis/RewardFramework/NonMonetary/StressTest, AI Prompt Log. All sheets must reference a central inputs sheet for dynamic recalculation.</t>
  </si>
  <si>
    <t xml:space="preserve">Full Excel workbook architecture — 11 sheets, cross-sheet formula references, color-coded model</t>
  </si>
  <si>
    <t xml:space="preserve">AI Usage Policy: All AI usage is disclosed above. Claude (Anthropic) was used as a reasoning and analysis partner. All assumptions, frameworks, and numbers were validated by the analyst before inclusion. The model architecture, formula design, and business judgment are the analyst's own.</t>
  </si>
</sst>
</file>

<file path=xl/styles.xml><?xml version="1.0" encoding="utf-8"?>
<styleSheet xmlns="http://schemas.openxmlformats.org/spreadsheetml/2006/main">
  <numFmts count="7">
    <numFmt numFmtId="164" formatCode="General"/>
    <numFmt numFmtId="165" formatCode="#,##0"/>
    <numFmt numFmtId="166" formatCode="#,##0.0"/>
    <numFmt numFmtId="167" formatCode="\₹#,##0"/>
    <numFmt numFmtId="168" formatCode="0.0%"/>
    <numFmt numFmtId="169" formatCode="\₹#,##0"/>
    <numFmt numFmtId="170" formatCode="\₹#,##0.00"/>
  </numFmts>
  <fonts count="2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name val="Arial"/>
      <family val="0"/>
      <charset val="1"/>
    </font>
    <font>
      <i val="true"/>
      <sz val="9"/>
      <color rgb="FF595959"/>
      <name val="Arial"/>
      <family val="0"/>
      <charset val="1"/>
    </font>
    <font>
      <b val="true"/>
      <sz val="12"/>
      <color rgb="FFFFFFFF"/>
      <name val="Arial"/>
      <family val="0"/>
      <charset val="1"/>
    </font>
    <font>
      <b val="true"/>
      <sz val="10"/>
      <name val="Arial"/>
      <family val="0"/>
      <charset val="1"/>
    </font>
    <font>
      <sz val="10"/>
      <color rgb="FF0000FF"/>
      <name val="Arial"/>
      <family val="0"/>
      <charset val="1"/>
    </font>
    <font>
      <b val="true"/>
      <sz val="10"/>
      <color rgb="FF0000FF"/>
      <name val="Arial"/>
      <family val="0"/>
      <charset val="1"/>
    </font>
    <font>
      <b val="true"/>
      <sz val="11"/>
      <color rgb="FFFFFFFF"/>
      <name val="Arial"/>
      <family val="0"/>
      <charset val="1"/>
    </font>
    <font>
      <sz val="10"/>
      <color rgb="FF008000"/>
      <name val="Arial"/>
      <family val="0"/>
      <charset val="1"/>
    </font>
    <font>
      <sz val="10"/>
      <color rgb="FF000000"/>
      <name val="Arial"/>
      <family val="0"/>
      <charset val="1"/>
    </font>
    <font>
      <b val="true"/>
      <sz val="10"/>
      <color rgb="FF375623"/>
      <name val="Arial"/>
      <family val="0"/>
      <charset val="1"/>
    </font>
    <font>
      <b val="true"/>
      <sz val="11"/>
      <color rgb="FF1F4E79"/>
      <name val="Arial"/>
      <family val="0"/>
      <charset val="1"/>
    </font>
    <font>
      <b val="true"/>
      <sz val="9"/>
      <color rgb="FFFFFFFF"/>
      <name val="Arial"/>
      <family val="0"/>
      <charset val="1"/>
    </font>
    <font>
      <b val="true"/>
      <sz val="10"/>
      <color rgb="FFC00000"/>
      <name val="Arial"/>
      <family val="0"/>
      <charset val="1"/>
    </font>
    <font>
      <i val="true"/>
      <sz val="9"/>
      <name val="Arial"/>
      <family val="0"/>
      <charset val="1"/>
    </font>
    <font>
      <sz val="9"/>
      <name val="Arial"/>
      <family val="0"/>
      <charset val="1"/>
    </font>
    <font>
      <b val="true"/>
      <sz val="11"/>
      <name val="Arial"/>
      <family val="0"/>
      <charset val="1"/>
    </font>
    <font>
      <b val="true"/>
      <sz val="10"/>
      <color rgb="FF4B0082"/>
      <name val="Arial"/>
      <family val="0"/>
      <charset val="1"/>
    </font>
    <font>
      <sz val="9"/>
      <color rgb="FF375623"/>
      <name val="Arial"/>
      <family val="0"/>
      <charset val="1"/>
    </font>
  </fonts>
  <fills count="18">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2F2F2"/>
        <bgColor rgb="FFE2EFDA"/>
      </patternFill>
    </fill>
    <fill>
      <patternFill patternType="solid">
        <fgColor rgb="FFFFFFFF"/>
        <bgColor rgb="FFF2F2F2"/>
      </patternFill>
    </fill>
    <fill>
      <patternFill patternType="solid">
        <fgColor rgb="FF70AD47"/>
        <bgColor rgb="FF339966"/>
      </patternFill>
    </fill>
    <fill>
      <patternFill patternType="solid">
        <fgColor rgb="FFFFFF00"/>
        <bgColor rgb="FFFFFF00"/>
      </patternFill>
    </fill>
    <fill>
      <patternFill patternType="solid">
        <fgColor rgb="FFED7D31"/>
        <bgColor rgb="FFCD7F32"/>
      </patternFill>
    </fill>
    <fill>
      <patternFill patternType="solid">
        <fgColor rgb="FF375623"/>
        <bgColor rgb="FF595959"/>
      </patternFill>
    </fill>
    <fill>
      <patternFill patternType="solid">
        <fgColor rgb="FFC00000"/>
        <bgColor rgb="FF800000"/>
      </patternFill>
    </fill>
    <fill>
      <patternFill patternType="solid">
        <fgColor rgb="FF7030A0"/>
        <bgColor rgb="FF993366"/>
      </patternFill>
    </fill>
    <fill>
      <patternFill patternType="solid">
        <fgColor rgb="FFFFD700"/>
        <bgColor rgb="FFFFFF00"/>
      </patternFill>
    </fill>
    <fill>
      <patternFill patternType="solid">
        <fgColor rgb="FFC0C0C0"/>
        <bgColor rgb="FFBDD7EE"/>
      </patternFill>
    </fill>
    <fill>
      <patternFill patternType="solid">
        <fgColor rgb="FFCD7F32"/>
        <bgColor rgb="FFED7D31"/>
      </patternFill>
    </fill>
    <fill>
      <patternFill patternType="solid">
        <fgColor rgb="FFBDD7EE"/>
        <bgColor rgb="FFD9D9D9"/>
      </patternFill>
    </fill>
    <fill>
      <patternFill patternType="solid">
        <fgColor rgb="FFE2EFDA"/>
        <bgColor rgb="FFF2F2F2"/>
      </patternFill>
    </fill>
    <fill>
      <patternFill patternType="solid">
        <fgColor rgb="FFD9D9D9"/>
        <bgColor rgb="FFBDD7E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general" vertical="center" textRotation="0" wrapText="false" indent="0" shrinkToFit="false"/>
      <protection locked="true" hidden="false"/>
    </xf>
    <xf numFmtId="164" fontId="6" fillId="5"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true" applyAlignment="true" applyProtection="false">
      <alignment horizontal="left" vertical="center" textRotation="0" wrapText="false" indent="0" shrinkToFit="false"/>
      <protection locked="true" hidden="false"/>
    </xf>
    <xf numFmtId="168" fontId="11" fillId="7" borderId="0" xfId="0" applyFont="true" applyBorder="false" applyAlignment="true" applyProtection="false">
      <alignment horizontal="general" vertical="bottom" textRotation="0" wrapText="false" indent="0" shrinkToFit="false"/>
      <protection locked="true" hidden="false"/>
    </xf>
    <xf numFmtId="167" fontId="11" fillId="7"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4" fontId="5" fillId="9"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8" fillId="10" borderId="0" xfId="0" applyFont="true" applyBorder="true" applyAlignment="true" applyProtection="false">
      <alignment horizontal="center" vertical="center" textRotation="0" wrapText="true" indent="0" shrinkToFit="false"/>
      <protection locked="true" hidden="false"/>
    </xf>
    <xf numFmtId="164" fontId="5" fillId="10" borderId="0" xfId="0" applyFont="true" applyBorder="true" applyAlignment="true" applyProtection="false">
      <alignment horizontal="left"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5" fontId="11" fillId="7"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true" applyAlignment="true" applyProtection="false">
      <alignment horizontal="left" vertical="center"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bottom" textRotation="0" wrapText="true" indent="0" shrinkToFit="false"/>
      <protection locked="true" hidden="false"/>
    </xf>
    <xf numFmtId="164" fontId="9" fillId="12"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9" fillId="13" borderId="0" xfId="0" applyFont="true" applyBorder="false" applyAlignment="tru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9" fillId="15" borderId="0" xfId="0" applyFont="true" applyBorder="false" applyAlignment="true" applyProtection="false">
      <alignment horizontal="general" vertical="bottom" textRotation="0" wrapText="false" indent="0" shrinkToFit="false"/>
      <protection locked="true" hidden="false"/>
    </xf>
    <xf numFmtId="164" fontId="9" fillId="16"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5" fontId="9" fillId="17" borderId="0" xfId="0" applyFont="true" applyBorder="false" applyAlignment="true" applyProtection="false">
      <alignment horizontal="general" vertical="bottom" textRotation="0" wrapText="false" indent="0" shrinkToFit="false"/>
      <protection locked="true" hidden="false"/>
    </xf>
    <xf numFmtId="168" fontId="9" fillId="17" borderId="0" xfId="0" applyFont="true" applyBorder="false" applyAlignment="true" applyProtection="false">
      <alignment horizontal="general" vertical="bottom" textRotation="0" wrapText="false" indent="0" shrinkToFit="false"/>
      <protection locked="true" hidden="false"/>
    </xf>
    <xf numFmtId="169" fontId="9" fillId="17" borderId="0" xfId="0" applyFont="true" applyBorder="false" applyAlignment="true" applyProtection="false">
      <alignment horizontal="general" vertical="bottom" textRotation="0" wrapText="false" indent="0" shrinkToFit="false"/>
      <protection locked="true" hidden="false"/>
    </xf>
    <xf numFmtId="164" fontId="8" fillId="11" borderId="0" xfId="0" applyFont="true" applyBorder="true" applyAlignment="true" applyProtection="false">
      <alignment horizontal="center" vertical="center" textRotation="0" wrapText="true" indent="0" shrinkToFit="false"/>
      <protection locked="true" hidden="false"/>
    </xf>
    <xf numFmtId="164" fontId="17" fillId="11"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2F2F2"/>
      <rgbColor rgb="FFCCFFFF"/>
      <rgbColor rgb="FF4B0082"/>
      <rgbColor rgb="FFCD7F32"/>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9D9D9"/>
      <rgbColor rgb="FF2E75B6"/>
      <rgbColor rgb="FF33CCCC"/>
      <rgbColor rgb="FF99CC00"/>
      <rgbColor rgb="FFFFD700"/>
      <rgbColor rgb="FFFF9900"/>
      <rgbColor rgb="FFED7D31"/>
      <rgbColor rgb="FF595959"/>
      <rgbColor rgb="FF70AD47"/>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0"/>
    <col collapsed="false" customWidth="true" hidden="false" outlineLevel="0" max="3" min="3" style="1" width="10"/>
    <col collapsed="false" customWidth="true" hidden="false" outlineLevel="0" max="4" min="4" style="1" width="20"/>
  </cols>
  <sheetData>
    <row r="1" customFormat="false" ht="36" hidden="false" customHeight="true" outlineLevel="0" collapsed="false">
      <c r="A1" s="2" t="s">
        <v>0</v>
      </c>
      <c r="B1" s="2"/>
      <c r="C1" s="2"/>
      <c r="D1" s="2"/>
      <c r="E1" s="2"/>
      <c r="F1" s="2"/>
    </row>
    <row r="3" customFormat="false" ht="21.75" hidden="false" customHeight="true" outlineLevel="0" collapsed="false">
      <c r="A3" s="3" t="s">
        <v>1</v>
      </c>
      <c r="B3" s="3" t="s">
        <v>2</v>
      </c>
      <c r="C3" s="3" t="s">
        <v>3</v>
      </c>
      <c r="D3" s="3" t="s">
        <v>4</v>
      </c>
    </row>
    <row r="4" customFormat="false" ht="18" hidden="false" customHeight="true" outlineLevel="0" collapsed="false">
      <c r="A4" s="4" t="s">
        <v>5</v>
      </c>
      <c r="B4" s="4" t="s">
        <v>6</v>
      </c>
      <c r="C4" s="4" t="s">
        <v>7</v>
      </c>
      <c r="D4" s="4" t="s">
        <v>8</v>
      </c>
    </row>
    <row r="5" customFormat="false" ht="18" hidden="false" customHeight="true" outlineLevel="0" collapsed="false">
      <c r="A5" s="5" t="s">
        <v>9</v>
      </c>
      <c r="B5" s="5" t="s">
        <v>10</v>
      </c>
      <c r="C5" s="5" t="s">
        <v>7</v>
      </c>
      <c r="D5" s="5" t="s">
        <v>11</v>
      </c>
    </row>
    <row r="6" customFormat="false" ht="18" hidden="false" customHeight="true" outlineLevel="0" collapsed="false">
      <c r="A6" s="4" t="s">
        <v>12</v>
      </c>
      <c r="B6" s="4" t="s">
        <v>13</v>
      </c>
      <c r="C6" s="4" t="s">
        <v>7</v>
      </c>
      <c r="D6" s="4" t="s">
        <v>14</v>
      </c>
    </row>
    <row r="7" customFormat="false" ht="18" hidden="false" customHeight="true" outlineLevel="0" collapsed="false">
      <c r="A7" s="5" t="s">
        <v>15</v>
      </c>
      <c r="B7" s="5" t="s">
        <v>16</v>
      </c>
      <c r="C7" s="5" t="s">
        <v>7</v>
      </c>
      <c r="D7" s="5" t="s">
        <v>17</v>
      </c>
    </row>
    <row r="8" customFormat="false" ht="18" hidden="false" customHeight="true" outlineLevel="0" collapsed="false">
      <c r="A8" s="4" t="s">
        <v>18</v>
      </c>
      <c r="B8" s="4" t="s">
        <v>19</v>
      </c>
      <c r="C8" s="4" t="s">
        <v>20</v>
      </c>
      <c r="D8" s="4" t="s">
        <v>8</v>
      </c>
    </row>
    <row r="9" customFormat="false" ht="18" hidden="false" customHeight="true" outlineLevel="0" collapsed="false">
      <c r="A9" s="5" t="s">
        <v>21</v>
      </c>
      <c r="B9" s="5" t="s">
        <v>22</v>
      </c>
      <c r="C9" s="5" t="s">
        <v>20</v>
      </c>
      <c r="D9" s="5" t="s">
        <v>11</v>
      </c>
    </row>
    <row r="10" customFormat="false" ht="18" hidden="false" customHeight="true" outlineLevel="0" collapsed="false">
      <c r="A10" s="4" t="s">
        <v>23</v>
      </c>
      <c r="B10" s="4" t="s">
        <v>24</v>
      </c>
      <c r="C10" s="4" t="s">
        <v>20</v>
      </c>
      <c r="D10" s="4" t="s">
        <v>25</v>
      </c>
    </row>
    <row r="11" customFormat="false" ht="18" hidden="false" customHeight="true" outlineLevel="0" collapsed="false">
      <c r="A11" s="5" t="s">
        <v>26</v>
      </c>
      <c r="B11" s="5" t="s">
        <v>27</v>
      </c>
      <c r="C11" s="5" t="s">
        <v>20</v>
      </c>
      <c r="D11" s="5" t="s">
        <v>17</v>
      </c>
    </row>
    <row r="12" customFormat="false" ht="18" hidden="false" customHeight="true" outlineLevel="0" collapsed="false">
      <c r="A12" s="4" t="s">
        <v>28</v>
      </c>
      <c r="B12" s="4" t="s">
        <v>29</v>
      </c>
      <c r="C12" s="4" t="s">
        <v>20</v>
      </c>
      <c r="D12" s="4" t="s">
        <v>30</v>
      </c>
    </row>
    <row r="13" customFormat="false" ht="18" hidden="false" customHeight="true" outlineLevel="0" collapsed="false">
      <c r="A13" s="5" t="s">
        <v>31</v>
      </c>
      <c r="B13" s="5" t="s">
        <v>32</v>
      </c>
      <c r="C13" s="5" t="s">
        <v>33</v>
      </c>
      <c r="D13" s="5" t="s">
        <v>34</v>
      </c>
    </row>
    <row r="15" customFormat="false" ht="15" hidden="false" customHeight="true" outlineLevel="0" collapsed="false">
      <c r="A15" s="6" t="s">
        <v>35</v>
      </c>
    </row>
    <row r="16" customFormat="false" ht="32.25" hidden="false" customHeight="true" outlineLevel="0" collapsed="false">
      <c r="A16" s="6" t="s">
        <v>36</v>
      </c>
    </row>
    <row r="17" customFormat="false" ht="21.75" hidden="false" customHeight="true" outlineLevel="0" collapsed="false">
      <c r="A17" s="6" t="s">
        <v>37</v>
      </c>
    </row>
    <row r="18" customFormat="false" ht="32.25" hidden="false" customHeight="true" outlineLevel="0" collapsed="false">
      <c r="A18" s="6" t="s">
        <v>38</v>
      </c>
    </row>
    <row r="19" customFormat="false" ht="21.75" hidden="false" customHeight="true" outlineLevel="0" collapsed="false">
      <c r="A19" s="6" t="s">
        <v>39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4"/>
    <col collapsed="false" customWidth="true" hidden="false" outlineLevel="0" max="3" min="3" style="1" width="4"/>
    <col collapsed="false" customWidth="true" hidden="false" outlineLevel="0" max="4" min="4" style="1" width="52"/>
  </cols>
  <sheetData>
    <row r="1" customFormat="false" ht="31.5" hidden="false" customHeight="true" outlineLevel="0" collapsed="false">
      <c r="A1" s="7" t="s">
        <v>40</v>
      </c>
      <c r="B1" s="7"/>
      <c r="C1" s="7"/>
      <c r="D1" s="7"/>
    </row>
    <row r="3" customFormat="false" ht="21.75" hidden="false" customHeight="true" outlineLevel="0" collapsed="false">
      <c r="A3" s="8" t="s">
        <v>41</v>
      </c>
      <c r="B3" s="8"/>
      <c r="C3" s="8"/>
      <c r="D3" s="8"/>
    </row>
    <row r="4" customFormat="false" ht="21.75" hidden="false" customHeight="true" outlineLevel="0" collapsed="false">
      <c r="A4" s="9" t="s">
        <v>42</v>
      </c>
      <c r="B4" s="10" t="n">
        <v>1000000</v>
      </c>
      <c r="D4" s="6" t="s">
        <v>43</v>
      </c>
    </row>
    <row r="5" customFormat="false" ht="21.75" hidden="false" customHeight="true" outlineLevel="0" collapsed="false">
      <c r="A5" s="9" t="s">
        <v>44</v>
      </c>
      <c r="B5" s="11" t="n">
        <v>1.6</v>
      </c>
      <c r="D5" s="6" t="s">
        <v>45</v>
      </c>
    </row>
    <row r="6" customFormat="false" ht="21.75" hidden="false" customHeight="true" outlineLevel="0" collapsed="false">
      <c r="A6" s="9" t="s">
        <v>46</v>
      </c>
      <c r="B6" s="12" t="n">
        <v>1500</v>
      </c>
      <c r="D6" s="6" t="s">
        <v>47</v>
      </c>
    </row>
    <row r="7" customFormat="false" ht="21.75" hidden="false" customHeight="true" outlineLevel="0" collapsed="false">
      <c r="A7" s="9" t="s">
        <v>48</v>
      </c>
      <c r="B7" s="13" t="n">
        <v>0.05</v>
      </c>
      <c r="D7" s="6" t="s">
        <v>49</v>
      </c>
    </row>
    <row r="8" customFormat="false" ht="21.75" hidden="false" customHeight="true" outlineLevel="0" collapsed="false">
      <c r="A8" s="9" t="s">
        <v>50</v>
      </c>
      <c r="B8" s="13" t="n">
        <v>0.03</v>
      </c>
      <c r="D8" s="6" t="s">
        <v>51</v>
      </c>
    </row>
    <row r="9" customFormat="false" ht="21.75" hidden="false" customHeight="true" outlineLevel="0" collapsed="false"/>
    <row r="10" customFormat="false" ht="21.75" hidden="false" customHeight="true" outlineLevel="0" collapsed="false">
      <c r="A10" s="14" t="s">
        <v>52</v>
      </c>
      <c r="B10" s="14"/>
      <c r="C10" s="14"/>
      <c r="D10" s="14"/>
    </row>
    <row r="11" customFormat="false" ht="21.75" hidden="false" customHeight="true" outlineLevel="0" collapsed="false">
      <c r="A11" s="9" t="s">
        <v>53</v>
      </c>
      <c r="B11" s="15" t="n">
        <v>0.2</v>
      </c>
      <c r="D11" s="6" t="s">
        <v>54</v>
      </c>
    </row>
    <row r="12" customFormat="false" ht="21.75" hidden="false" customHeight="true" outlineLevel="0" collapsed="false">
      <c r="A12" s="9" t="s">
        <v>55</v>
      </c>
      <c r="B12" s="16" t="n">
        <v>500000</v>
      </c>
      <c r="D12" s="6" t="s">
        <v>56</v>
      </c>
    </row>
    <row r="13" customFormat="false" ht="21.75" hidden="false" customHeight="true" outlineLevel="0" collapsed="false">
      <c r="A13" s="9" t="s">
        <v>57</v>
      </c>
      <c r="B13" s="15" t="n">
        <v>0.3</v>
      </c>
      <c r="D13" s="6" t="s">
        <v>58</v>
      </c>
    </row>
    <row r="14" customFormat="false" ht="21.75" hidden="false" customHeight="true" outlineLevel="0" collapsed="false"/>
    <row r="15" customFormat="false" ht="21.75" hidden="false" customHeight="true" outlineLevel="0" collapsed="false">
      <c r="A15" s="17" t="s">
        <v>59</v>
      </c>
      <c r="B15" s="17"/>
      <c r="C15" s="17"/>
      <c r="D15" s="17"/>
    </row>
    <row r="16" customFormat="false" ht="21.75" hidden="false" customHeight="true" outlineLevel="0" collapsed="false">
      <c r="A16" s="9" t="s">
        <v>60</v>
      </c>
      <c r="B16" s="15" t="n">
        <v>0.15</v>
      </c>
      <c r="D16" s="6" t="s">
        <v>61</v>
      </c>
    </row>
    <row r="17" customFormat="false" ht="21.75" hidden="false" customHeight="true" outlineLevel="0" collapsed="false">
      <c r="A17" s="9" t="s">
        <v>55</v>
      </c>
      <c r="B17" s="16" t="n">
        <v>300000</v>
      </c>
      <c r="D17" s="6" t="s">
        <v>62</v>
      </c>
    </row>
    <row r="18" customFormat="false" ht="21.75" hidden="false" customHeight="true" outlineLevel="0" collapsed="false">
      <c r="A18" s="9" t="s">
        <v>63</v>
      </c>
      <c r="B18" s="15" t="n">
        <v>0.1</v>
      </c>
      <c r="D18" s="6" t="s">
        <v>64</v>
      </c>
    </row>
    <row r="19" customFormat="false" ht="21.75" hidden="false" customHeight="true" outlineLevel="0" collapsed="false"/>
  </sheetData>
  <mergeCells count="4">
    <mergeCell ref="A1:D1"/>
    <mergeCell ref="A3:D3"/>
    <mergeCell ref="A10:D10"/>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8"/>
  </cols>
  <sheetData>
    <row r="1" customFormat="false" ht="31.5" hidden="false" customHeight="true" outlineLevel="0" collapsed="false">
      <c r="A1" s="7" t="s">
        <v>65</v>
      </c>
      <c r="B1" s="7"/>
      <c r="C1" s="7"/>
    </row>
    <row r="3" customFormat="false" ht="21.75" hidden="false" customHeight="true" outlineLevel="0" collapsed="false">
      <c r="A3" s="18" t="s">
        <v>66</v>
      </c>
      <c r="B3" s="18" t="s">
        <v>67</v>
      </c>
      <c r="C3" s="18" t="s">
        <v>68</v>
      </c>
    </row>
    <row r="4" customFormat="false" ht="21.75" hidden="false" customHeight="true" outlineLevel="0" collapsed="false">
      <c r="A4" s="19" t="s">
        <v>69</v>
      </c>
      <c r="B4" s="20" t="n">
        <f aca="false">'Q1 — Inputs'!B4</f>
        <v>1000000</v>
      </c>
    </row>
    <row r="5" customFormat="false" ht="21.75" hidden="false" customHeight="true" outlineLevel="0" collapsed="false">
      <c r="A5" s="19" t="s">
        <v>70</v>
      </c>
      <c r="B5" s="21" t="n">
        <f aca="false">'Q1 — Inputs'!B5</f>
        <v>1.6</v>
      </c>
    </row>
    <row r="6" customFormat="false" ht="21.75" hidden="false" customHeight="true" outlineLevel="0" collapsed="false">
      <c r="A6" s="19" t="s">
        <v>46</v>
      </c>
      <c r="B6" s="22" t="n">
        <f aca="false">'Q1 — Inputs'!B6</f>
        <v>1500</v>
      </c>
    </row>
    <row r="7" customFormat="false" ht="21.75" hidden="false" customHeight="true" outlineLevel="0" collapsed="false">
      <c r="A7" s="9" t="s">
        <v>71</v>
      </c>
    </row>
    <row r="8" customFormat="false" ht="21.75" hidden="false" customHeight="true" outlineLevel="0" collapsed="false">
      <c r="A8" s="19" t="s">
        <v>72</v>
      </c>
      <c r="B8" s="23" t="n">
        <f aca="false">B4*B5</f>
        <v>1600000</v>
      </c>
      <c r="C8" s="23" t="n">
        <f aca="false">B8*12</f>
        <v>19200000</v>
      </c>
    </row>
    <row r="9" customFormat="false" ht="21.75" hidden="false" customHeight="true" outlineLevel="0" collapsed="false">
      <c r="A9" s="19" t="s">
        <v>73</v>
      </c>
      <c r="B9" s="24" t="n">
        <f aca="false">B8*B6</f>
        <v>2400000000</v>
      </c>
      <c r="C9" s="24" t="n">
        <f aca="false">B9*12</f>
        <v>28800000000</v>
      </c>
    </row>
    <row r="10" customFormat="false" ht="21.75" hidden="false" customHeight="true" outlineLevel="0" collapsed="false">
      <c r="A10" s="9" t="s">
        <v>74</v>
      </c>
    </row>
    <row r="11" customFormat="false" ht="21.75" hidden="false" customHeight="true" outlineLevel="0" collapsed="false">
      <c r="A11" s="19" t="s">
        <v>75</v>
      </c>
      <c r="B11" s="24" t="n">
        <f aca="false">B9*'Q1 — Inputs'!B7</f>
        <v>120000000</v>
      </c>
      <c r="C11" s="24" t="n">
        <f aca="false">C9*'Q1 — Inputs'!B7</f>
        <v>1440000000</v>
      </c>
    </row>
    <row r="12" customFormat="false" ht="21.75" hidden="false" customHeight="true" outlineLevel="0" collapsed="false">
      <c r="A12" s="19" t="s">
        <v>76</v>
      </c>
      <c r="B12" s="24" t="n">
        <f aca="false">B9*'Q1 — Inputs'!B8</f>
        <v>72000000</v>
      </c>
      <c r="C12" s="24" t="n">
        <f aca="false">C9*'Q1 — Inputs'!B8</f>
        <v>864000000</v>
      </c>
    </row>
    <row r="13" customFormat="false" ht="21.75" hidden="false" customHeight="true" outlineLevel="0" collapsed="false"/>
    <row r="14" customFormat="false" ht="21.75" hidden="false" customHeight="true" outlineLevel="0" collapsed="false"/>
    <row r="15" customFormat="false" ht="21.75" hidden="false" customHeight="true" outlineLevel="0" collapsed="false">
      <c r="A15" s="6" t="s">
        <v>77</v>
      </c>
    </row>
    <row r="16" customFormat="false" ht="21.75" hidden="false" customHeight="true" outlineLevel="0" collapsed="false">
      <c r="A16" s="6" t="s">
        <v>78</v>
      </c>
    </row>
    <row r="17" customFormat="false" ht="21.75" hidden="false" customHeight="true" outlineLevel="0" collapsed="false"/>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20"/>
    <col collapsed="false" customWidth="true" hidden="false" outlineLevel="0" max="5" min="5" style="1" width="14"/>
  </cols>
  <sheetData>
    <row r="1" customFormat="false" ht="31.5" hidden="false" customHeight="true" outlineLevel="0" collapsed="false">
      <c r="A1" s="7" t="s">
        <v>79</v>
      </c>
      <c r="B1" s="7"/>
      <c r="C1" s="7"/>
      <c r="D1" s="7"/>
      <c r="E1" s="7"/>
    </row>
    <row r="3" customFormat="false" ht="21.75" hidden="false" customHeight="true" outlineLevel="0" collapsed="false">
      <c r="A3" s="18" t="s">
        <v>66</v>
      </c>
      <c r="B3" s="18" t="s">
        <v>80</v>
      </c>
      <c r="C3" s="18" t="s">
        <v>81</v>
      </c>
      <c r="D3" s="18" t="s">
        <v>82</v>
      </c>
      <c r="E3" s="18" t="s">
        <v>83</v>
      </c>
    </row>
    <row r="4" customFormat="false" ht="21.75" hidden="false" customHeight="true" outlineLevel="0" collapsed="false">
      <c r="A4" s="25" t="s">
        <v>69</v>
      </c>
      <c r="B4" s="20" t="n">
        <f aca="false">'Q1 — BaseCase'!B4</f>
        <v>1000000</v>
      </c>
      <c r="C4" s="20" t="n">
        <f aca="false">'Q1 — BaseCase'!B4</f>
        <v>1000000</v>
      </c>
      <c r="D4" s="20" t="n">
        <f aca="false">'Q1 — BaseCase'!B4</f>
        <v>1000000</v>
      </c>
    </row>
    <row r="5" customFormat="false" ht="21.75" hidden="false" customHeight="true" outlineLevel="0" collapsed="false">
      <c r="A5" s="25" t="s">
        <v>84</v>
      </c>
      <c r="B5" s="21" t="n">
        <f aca="false">'Q1 — Inputs'!B5</f>
        <v>1.6</v>
      </c>
      <c r="C5" s="26" t="n">
        <f aca="false">'Q1 — Inputs'!B5*(1+'Q1 — Inputs'!B11)</f>
        <v>1.92</v>
      </c>
      <c r="D5" s="21" t="n">
        <f aca="false">'Q1 — Inputs'!B5</f>
        <v>1.6</v>
      </c>
    </row>
    <row r="6" customFormat="false" ht="21.75" hidden="false" customHeight="true" outlineLevel="0" collapsed="false">
      <c r="A6" s="25" t="s">
        <v>85</v>
      </c>
      <c r="B6" s="22" t="n">
        <f aca="false">'Q1 — Inputs'!B6</f>
        <v>1500</v>
      </c>
      <c r="C6" s="22" t="n">
        <f aca="false">'Q1 — Inputs'!B6</f>
        <v>1500</v>
      </c>
      <c r="D6" s="24" t="n">
        <f aca="false">'Q1 — Inputs'!B6*(1+'Q1 — Inputs'!B16)</f>
        <v>1725</v>
      </c>
    </row>
    <row r="7" customFormat="false" ht="21.75" hidden="false" customHeight="true" outlineLevel="0" collapsed="false">
      <c r="A7" s="25" t="s">
        <v>72</v>
      </c>
      <c r="B7" s="23" t="n">
        <f aca="false">B4*B5</f>
        <v>1600000</v>
      </c>
      <c r="C7" s="23" t="n">
        <f aca="false">C4*C5</f>
        <v>1920000</v>
      </c>
      <c r="D7" s="23" t="n">
        <f aca="false">D4*D5</f>
        <v>1600000</v>
      </c>
    </row>
    <row r="8" customFormat="false" ht="21.75" hidden="false" customHeight="true" outlineLevel="0" collapsed="false">
      <c r="A8" s="25" t="s">
        <v>86</v>
      </c>
      <c r="B8" s="24" t="n">
        <f aca="false">B7*B6</f>
        <v>2400000000</v>
      </c>
      <c r="C8" s="24" t="n">
        <f aca="false">C7*C6</f>
        <v>2880000000</v>
      </c>
      <c r="D8" s="24" t="n">
        <f aca="false">D7*D6</f>
        <v>2760000000</v>
      </c>
    </row>
    <row r="9" customFormat="false" ht="21.75" hidden="false" customHeight="true" outlineLevel="0" collapsed="false">
      <c r="A9" s="25" t="s">
        <v>87</v>
      </c>
      <c r="B9" s="24" t="n">
        <f aca="false">B8*'Q1 — Inputs'!B7</f>
        <v>120000000</v>
      </c>
      <c r="C9" s="24" t="n">
        <f aca="false">C8*'Q1 — Inputs'!B7</f>
        <v>144000000</v>
      </c>
      <c r="D9" s="24" t="n">
        <f aca="false">D8*'Q1 — Inputs'!B7</f>
        <v>138000000</v>
      </c>
    </row>
    <row r="10" customFormat="false" ht="21.75" hidden="false" customHeight="true" outlineLevel="0" collapsed="false">
      <c r="A10" s="25" t="s">
        <v>88</v>
      </c>
      <c r="B10" s="27" t="n">
        <v>0</v>
      </c>
      <c r="C10" s="22" t="n">
        <f aca="false">'Q1 — Inputs'!B12</f>
        <v>500000</v>
      </c>
      <c r="D10" s="22" t="n">
        <f aca="false">'Q1 — Inputs'!B17</f>
        <v>300000</v>
      </c>
    </row>
    <row r="11" customFormat="false" ht="21.75" hidden="false" customHeight="true" outlineLevel="0" collapsed="false">
      <c r="A11" s="25" t="s">
        <v>89</v>
      </c>
      <c r="B11" s="24" t="n">
        <f aca="false">B8*'Q1 — Inputs'!B8</f>
        <v>72000000</v>
      </c>
      <c r="C11" s="24" t="n">
        <f aca="false">C8*'Q1 — Inputs'!B8</f>
        <v>86400000</v>
      </c>
      <c r="D11" s="24" t="n">
        <f aca="false">D8*'Q1 — Inputs'!B8</f>
        <v>82800000</v>
      </c>
    </row>
    <row r="12" customFormat="false" ht="21.75" hidden="false" customHeight="true" outlineLevel="0" collapsed="false">
      <c r="A12" s="25" t="s">
        <v>90</v>
      </c>
      <c r="B12" s="24" t="n">
        <f aca="false">B11</f>
        <v>72000000</v>
      </c>
      <c r="C12" s="24" t="n">
        <f aca="false">C11-C10</f>
        <v>85900000</v>
      </c>
      <c r="D12" s="24" t="n">
        <f aca="false">D11-D10</f>
        <v>82500000</v>
      </c>
    </row>
    <row r="13" customFormat="false" ht="21.75" hidden="false" customHeight="true" outlineLevel="0" collapsed="false">
      <c r="A13" s="25" t="s">
        <v>91</v>
      </c>
      <c r="B13" s="28" t="s">
        <v>92</v>
      </c>
      <c r="C13" s="24" t="n">
        <f aca="false">C12-B12</f>
        <v>13900000</v>
      </c>
      <c r="D13" s="24" t="n">
        <f aca="false">D12-B12</f>
        <v>10500000</v>
      </c>
      <c r="E13" s="29" t="str">
        <f aca="false">IF(C13&gt;D13,"Lever 1 ✓",IF(D13&gt;C13,"Lever 2 ✓","Tie"))</f>
        <v>Lever 1 ✓</v>
      </c>
    </row>
    <row r="14" customFormat="false" ht="21.75" hidden="false" customHeight="true" outlineLevel="0" collapsed="false">
      <c r="A14" s="25" t="s">
        <v>93</v>
      </c>
      <c r="B14" s="30" t="s">
        <v>92</v>
      </c>
      <c r="C14" s="31" t="n">
        <f aca="false">IF(C10&gt;0,(C13/C10),"N/A")</f>
        <v>27.8</v>
      </c>
      <c r="D14" s="31" t="n">
        <f aca="false">IF(D10&gt;0,(D13/D10),"N/A")</f>
        <v>35</v>
      </c>
      <c r="E14" s="29" t="str">
        <f aca="false">IF(C14&gt;D14,"Lever 1 ✓",IF(D14&gt;C14,"Lever 2 ✓","Tie"))</f>
        <v>Lever 2 ✓</v>
      </c>
    </row>
    <row r="15" customFormat="false" ht="21.75" hidden="false" customHeight="true" outlineLevel="0" collapsed="false"/>
    <row r="17" customFormat="false" ht="15" hidden="false" customHeight="true" outlineLevel="0" collapsed="false">
      <c r="A17" s="32" t="s">
        <v>94</v>
      </c>
      <c r="B17" s="32"/>
      <c r="C17" s="32"/>
      <c r="D17" s="32"/>
      <c r="E17" s="32"/>
    </row>
    <row r="18" customFormat="false" ht="39.75" hidden="false" customHeight="true" outlineLevel="0" collapsed="false">
      <c r="A18" s="9" t="s">
        <v>95</v>
      </c>
      <c r="B18" s="33" t="s">
        <v>96</v>
      </c>
      <c r="C18" s="6" t="s">
        <v>97</v>
      </c>
    </row>
    <row r="19" customFormat="false" ht="39.75" hidden="false" customHeight="true" outlineLevel="0" collapsed="false">
      <c r="A19" s="9" t="s">
        <v>98</v>
      </c>
      <c r="B19" s="33" t="s">
        <v>99</v>
      </c>
      <c r="C19" s="6" t="s">
        <v>100</v>
      </c>
    </row>
    <row r="20" customFormat="false" ht="39.75" hidden="false" customHeight="true" outlineLevel="0" collapsed="false">
      <c r="A20" s="9" t="s">
        <v>101</v>
      </c>
      <c r="B20" s="33" t="s">
        <v>102</v>
      </c>
      <c r="C20" s="6" t="s">
        <v>103</v>
      </c>
    </row>
    <row r="21" customFormat="false" ht="39.75" hidden="false" customHeight="true" outlineLevel="0" collapsed="false">
      <c r="A21" s="9" t="s">
        <v>104</v>
      </c>
      <c r="B21" s="33" t="s">
        <v>105</v>
      </c>
      <c r="C21" s="6" t="s">
        <v>106</v>
      </c>
    </row>
  </sheetData>
  <mergeCells count="2">
    <mergeCell ref="A1:E1"/>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16"/>
    <col collapsed="false" customWidth="true" hidden="false" outlineLevel="0" max="4" min="4" style="1" width="22"/>
    <col collapsed="false" customWidth="true" hidden="false" outlineLevel="0" max="5" min="5" style="1" width="20"/>
    <col collapsed="false" customWidth="true" hidden="false" outlineLevel="0" max="6" min="6" style="1" width="16"/>
  </cols>
  <sheetData>
    <row r="1" customFormat="false" ht="31.5" hidden="false" customHeight="true" outlineLevel="0" collapsed="false">
      <c r="A1" s="34" t="s">
        <v>107</v>
      </c>
      <c r="B1" s="34"/>
      <c r="C1" s="34"/>
      <c r="D1" s="34"/>
      <c r="E1" s="34"/>
      <c r="F1" s="34"/>
    </row>
    <row r="3" customFormat="false" ht="15" hidden="false" customHeight="true" outlineLevel="0" collapsed="false">
      <c r="A3" s="35" t="s">
        <v>108</v>
      </c>
      <c r="B3" s="35"/>
      <c r="C3" s="35"/>
      <c r="D3" s="35"/>
      <c r="E3" s="35"/>
      <c r="F3" s="35"/>
    </row>
    <row r="4" customFormat="false" ht="63.75" hidden="false" customHeight="true" outlineLevel="0" collapsed="false">
      <c r="A4" s="6" t="s">
        <v>109</v>
      </c>
    </row>
    <row r="6" customFormat="false" ht="21.75" hidden="false" customHeight="true" outlineLevel="0" collapsed="false">
      <c r="A6" s="36" t="s">
        <v>110</v>
      </c>
      <c r="B6" s="36" t="s">
        <v>111</v>
      </c>
      <c r="C6" s="36" t="s">
        <v>86</v>
      </c>
      <c r="D6" s="36" t="s">
        <v>112</v>
      </c>
      <c r="E6" s="36" t="s">
        <v>113</v>
      </c>
      <c r="F6" s="36" t="s">
        <v>114</v>
      </c>
    </row>
    <row r="7" customFormat="false" ht="15" hidden="false" customHeight="true" outlineLevel="0" collapsed="false">
      <c r="A7" s="13" t="n">
        <v>0.03</v>
      </c>
      <c r="B7" s="24" t="n">
        <f aca="false">IF(A7&gt;='Q1 — Inputs'!B18,'Q1 — Inputs'!B6*(1+'Q1 — Inputs'!B16),'Q1 — Inputs'!B6*(1+'Q1 — Inputs'!B16*(A7/'Q1 — Inputs'!B18)))</f>
        <v>1567.5</v>
      </c>
      <c r="C7" s="24" t="n">
        <f aca="false">'Q1 — BaseCase'!B8*B7</f>
        <v>2508000000</v>
      </c>
      <c r="D7" s="24" t="n">
        <f aca="false">C7*'Q1 — Inputs'!B8-'Q1 — Inputs'!B17</f>
        <v>74940000</v>
      </c>
      <c r="E7" s="24" t="n">
        <f aca="false">D7-'Q1 — BaseCase'!B12</f>
        <v>2940000</v>
      </c>
      <c r="F7" s="37" t="str">
        <f aca="false">IF(E7&lt;0,"❌ Loss",IF(E7&lt;500000,"⚠️ Marginal","✅ Proceed"))</f>
        <v>✅ Proceed</v>
      </c>
    </row>
    <row r="8" customFormat="false" ht="15" hidden="false" customHeight="true" outlineLevel="0" collapsed="false">
      <c r="A8" s="13" t="n">
        <v>0.05</v>
      </c>
      <c r="B8" s="24" t="n">
        <f aca="false">IF(A8&gt;='Q1 — Inputs'!B18,'Q1 — Inputs'!B6*(1+'Q1 — Inputs'!B16),'Q1 — Inputs'!B6*(1+'Q1 — Inputs'!B16*(A8/'Q1 — Inputs'!B18)))</f>
        <v>1612.5</v>
      </c>
      <c r="C8" s="24" t="n">
        <f aca="false">'Q1 — BaseCase'!B8*B8</f>
        <v>2580000000</v>
      </c>
      <c r="D8" s="24" t="n">
        <f aca="false">C8*'Q1 — Inputs'!B8-'Q1 — Inputs'!B17</f>
        <v>77100000</v>
      </c>
      <c r="E8" s="24" t="n">
        <f aca="false">D8-'Q1 — BaseCase'!B12</f>
        <v>5100000</v>
      </c>
      <c r="F8" s="37" t="str">
        <f aca="false">IF(E8&lt;0,"❌ Loss",IF(E8&lt;500000,"⚠️ Marginal","✅ Proceed"))</f>
        <v>✅ Proceed</v>
      </c>
    </row>
    <row r="9" customFormat="false" ht="15" hidden="false" customHeight="true" outlineLevel="0" collapsed="false">
      <c r="A9" s="13" t="n">
        <v>0.08</v>
      </c>
      <c r="B9" s="24" t="n">
        <f aca="false">IF(A9&gt;='Q1 — Inputs'!B18,'Q1 — Inputs'!B6*(1+'Q1 — Inputs'!B16),'Q1 — Inputs'!B6*(1+'Q1 — Inputs'!B16*(A9/'Q1 — Inputs'!B18)))</f>
        <v>1680</v>
      </c>
      <c r="C9" s="24" t="n">
        <f aca="false">'Q1 — BaseCase'!B8*B9</f>
        <v>2688000000</v>
      </c>
      <c r="D9" s="24" t="n">
        <f aca="false">C9*'Q1 — Inputs'!B8-'Q1 — Inputs'!B17</f>
        <v>80340000</v>
      </c>
      <c r="E9" s="24" t="n">
        <f aca="false">D9-'Q1 — BaseCase'!B12</f>
        <v>8339999.99999999</v>
      </c>
      <c r="F9" s="37" t="str">
        <f aca="false">IF(E9&lt;0,"❌ Loss",IF(E9&lt;500000,"⚠️ Marginal","✅ Proceed"))</f>
        <v>✅ Proceed</v>
      </c>
    </row>
    <row r="10" customFormat="false" ht="15" hidden="false" customHeight="true" outlineLevel="0" collapsed="false">
      <c r="A10" s="13" t="n">
        <v>0.1</v>
      </c>
      <c r="B10" s="24" t="n">
        <f aca="false">IF(A10&gt;='Q1 — Inputs'!B18,'Q1 — Inputs'!B6*(1+'Q1 — Inputs'!B16),'Q1 — Inputs'!B6*(1+'Q1 — Inputs'!B16*(A10/'Q1 — Inputs'!B18)))</f>
        <v>1725</v>
      </c>
      <c r="C10" s="24" t="n">
        <f aca="false">'Q1 — BaseCase'!B8*B10</f>
        <v>2760000000</v>
      </c>
      <c r="D10" s="24" t="n">
        <f aca="false">C10*'Q1 — Inputs'!B8-'Q1 — Inputs'!B17</f>
        <v>82500000</v>
      </c>
      <c r="E10" s="24" t="n">
        <f aca="false">D10-'Q1 — BaseCase'!B12</f>
        <v>10500000</v>
      </c>
      <c r="F10" s="37" t="str">
        <f aca="false">IF(E10&lt;0,"❌ Loss",IF(E10&lt;500000,"⚠️ Marginal","✅ Proceed"))</f>
        <v>✅ Proceed</v>
      </c>
    </row>
    <row r="11" customFormat="false" ht="15" hidden="false" customHeight="true" outlineLevel="0" collapsed="false">
      <c r="A11" s="13" t="n">
        <v>0.12</v>
      </c>
      <c r="B11" s="24" t="n">
        <f aca="false">IF(A11&gt;='Q1 — Inputs'!B18,'Q1 — Inputs'!B6*(1+'Q1 — Inputs'!B16),'Q1 — Inputs'!B6*(1+'Q1 — Inputs'!B16*(A11/'Q1 — Inputs'!B18)))</f>
        <v>1725</v>
      </c>
      <c r="C11" s="24" t="n">
        <f aca="false">'Q1 — BaseCase'!B8*B11</f>
        <v>2760000000</v>
      </c>
      <c r="D11" s="24" t="n">
        <f aca="false">C11*'Q1 — Inputs'!B8-'Q1 — Inputs'!B17</f>
        <v>82500000</v>
      </c>
      <c r="E11" s="24" t="n">
        <f aca="false">D11-'Q1 — BaseCase'!B12</f>
        <v>10500000</v>
      </c>
      <c r="F11" s="37" t="str">
        <f aca="false">IF(E11&lt;0,"❌ Loss",IF(E11&lt;500000,"⚠️ Marginal","✅ Proceed"))</f>
        <v>✅ Proceed</v>
      </c>
    </row>
    <row r="12" customFormat="false" ht="15" hidden="false" customHeight="true" outlineLevel="0" collapsed="false">
      <c r="A12" s="13" t="n">
        <v>0.15</v>
      </c>
      <c r="B12" s="24" t="n">
        <f aca="false">IF(A12&gt;='Q1 — Inputs'!B18,'Q1 — Inputs'!B6*(1+'Q1 — Inputs'!B16),'Q1 — Inputs'!B6*(1+'Q1 — Inputs'!B16*(A12/'Q1 — Inputs'!B18)))</f>
        <v>1725</v>
      </c>
      <c r="C12" s="24" t="n">
        <f aca="false">'Q1 — BaseCase'!B8*B12</f>
        <v>2760000000</v>
      </c>
      <c r="D12" s="24" t="n">
        <f aca="false">C12*'Q1 — Inputs'!B8-'Q1 — Inputs'!B17</f>
        <v>82500000</v>
      </c>
      <c r="E12" s="24" t="n">
        <f aca="false">D12-'Q1 — BaseCase'!B12</f>
        <v>10500000</v>
      </c>
      <c r="F12" s="37" t="str">
        <f aca="false">IF(E12&lt;0,"❌ Loss",IF(E12&lt;500000,"⚠️ Marginal","✅ Proceed"))</f>
        <v>✅ Proceed</v>
      </c>
    </row>
    <row r="13" customFormat="false" ht="15" hidden="false" customHeight="true" outlineLevel="0" collapsed="false">
      <c r="A13" s="13" t="n">
        <v>0.2</v>
      </c>
      <c r="B13" s="24" t="n">
        <f aca="false">IF(A13&gt;='Q1 — Inputs'!B18,'Q1 — Inputs'!B6*(1+'Q1 — Inputs'!B16),'Q1 — Inputs'!B6*(1+'Q1 — Inputs'!B16*(A13/'Q1 — Inputs'!B18)))</f>
        <v>1725</v>
      </c>
      <c r="C13" s="24" t="n">
        <f aca="false">'Q1 — BaseCase'!B8*B13</f>
        <v>2760000000</v>
      </c>
      <c r="D13" s="24" t="n">
        <f aca="false">C13*'Q1 — Inputs'!B8-'Q1 — Inputs'!B17</f>
        <v>82500000</v>
      </c>
      <c r="E13" s="24" t="n">
        <f aca="false">D13-'Q1 — BaseCase'!B12</f>
        <v>10500000</v>
      </c>
      <c r="F13" s="37" t="str">
        <f aca="false">IF(E13&lt;0,"❌ Loss",IF(E13&lt;500000,"⚠️ Marginal","✅ Proceed"))</f>
        <v>✅ Proceed</v>
      </c>
    </row>
    <row r="16" customFormat="false" ht="15" hidden="false" customHeight="true" outlineLevel="0" collapsed="false">
      <c r="A16" s="32" t="s">
        <v>115</v>
      </c>
      <c r="B16" s="32"/>
      <c r="C16" s="32"/>
      <c r="D16" s="32"/>
      <c r="E16" s="32"/>
      <c r="F16" s="32"/>
    </row>
    <row r="17" customFormat="false" ht="31.5" hidden="false" customHeight="true" outlineLevel="0" collapsed="false">
      <c r="A17" s="9" t="s">
        <v>116</v>
      </c>
      <c r="B17" s="38" t="s">
        <v>117</v>
      </c>
      <c r="C17" s="38"/>
      <c r="D17" s="38"/>
      <c r="E17" s="38"/>
      <c r="F17" s="38"/>
    </row>
    <row r="18" customFormat="false" ht="31.5" hidden="false" customHeight="true" outlineLevel="0" collapsed="false">
      <c r="A18" s="9" t="s">
        <v>118</v>
      </c>
      <c r="B18" s="38" t="s">
        <v>119</v>
      </c>
      <c r="C18" s="38"/>
      <c r="D18" s="38"/>
      <c r="E18" s="38"/>
      <c r="F18" s="38"/>
    </row>
    <row r="19" customFormat="false" ht="31.5" hidden="false" customHeight="true" outlineLevel="0" collapsed="false">
      <c r="A19" s="9" t="s">
        <v>120</v>
      </c>
      <c r="B19" s="38" t="s">
        <v>121</v>
      </c>
      <c r="C19" s="38"/>
      <c r="D19" s="38"/>
      <c r="E19" s="38"/>
      <c r="F19" s="38"/>
    </row>
    <row r="20" customFormat="false" ht="31.5" hidden="false" customHeight="true" outlineLevel="0" collapsed="false">
      <c r="A20" s="9" t="s">
        <v>122</v>
      </c>
      <c r="B20" s="38" t="s">
        <v>123</v>
      </c>
      <c r="C20" s="38"/>
      <c r="D20" s="38"/>
      <c r="E20" s="38"/>
      <c r="F20" s="38"/>
    </row>
  </sheetData>
  <mergeCells count="7">
    <mergeCell ref="A1:F1"/>
    <mergeCell ref="A3:F3"/>
    <mergeCell ref="A16:F16"/>
    <mergeCell ref="B17:F17"/>
    <mergeCell ref="B18:F18"/>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3" min="3" style="1" width="4"/>
    <col collapsed="false" customWidth="true" hidden="false" outlineLevel="0" max="4" min="4" style="1" width="52"/>
  </cols>
  <sheetData>
    <row r="1" customFormat="false" ht="31.5" hidden="false" customHeight="true" outlineLevel="0" collapsed="false">
      <c r="A1" s="7" t="s">
        <v>124</v>
      </c>
      <c r="B1" s="7"/>
      <c r="C1" s="7"/>
      <c r="D1" s="7"/>
    </row>
    <row r="3" customFormat="false" ht="21.75" hidden="false" customHeight="true" outlineLevel="0" collapsed="false">
      <c r="A3" s="8" t="s">
        <v>125</v>
      </c>
      <c r="B3" s="8"/>
      <c r="C3" s="8"/>
      <c r="D3" s="8"/>
    </row>
    <row r="4" customFormat="false" ht="21.75" hidden="false" customHeight="true" outlineLevel="0" collapsed="false">
      <c r="A4" s="9" t="s">
        <v>126</v>
      </c>
      <c r="B4" s="10" t="n">
        <v>100000</v>
      </c>
      <c r="D4" s="6" t="s">
        <v>51</v>
      </c>
    </row>
    <row r="5" customFormat="false" ht="21.75" hidden="false" customHeight="true" outlineLevel="0" collapsed="false">
      <c r="A5" s="9" t="s">
        <v>127</v>
      </c>
      <c r="B5" s="10" t="n">
        <v>100</v>
      </c>
      <c r="D5" s="6" t="s">
        <v>128</v>
      </c>
    </row>
    <row r="6" customFormat="false" ht="21.75" hidden="false" customHeight="true" outlineLevel="0" collapsed="false">
      <c r="A6" s="9" t="s">
        <v>129</v>
      </c>
      <c r="B6" s="12" t="n">
        <v>50000</v>
      </c>
      <c r="D6" s="6" t="s">
        <v>130</v>
      </c>
    </row>
    <row r="7" customFormat="false" ht="21.75" hidden="false" customHeight="true" outlineLevel="0" collapsed="false">
      <c r="A7" s="9" t="s">
        <v>131</v>
      </c>
      <c r="B7" s="39" t="n">
        <f aca="false">B6/B4</f>
        <v>0.5</v>
      </c>
      <c r="D7" s="6" t="s">
        <v>132</v>
      </c>
    </row>
    <row r="8" customFormat="false" ht="21.75" hidden="false" customHeight="true" outlineLevel="0" collapsed="false">
      <c r="A8" s="9" t="s">
        <v>133</v>
      </c>
      <c r="B8" s="31" t="n">
        <f aca="false">(B4-B5)/B4</f>
        <v>0.999</v>
      </c>
      <c r="D8" s="6" t="s">
        <v>134</v>
      </c>
    </row>
    <row r="9" customFormat="false" ht="21.75" hidden="false" customHeight="true" outlineLevel="0" collapsed="false"/>
    <row r="10" customFormat="false" ht="21.75" hidden="false" customHeight="true" outlineLevel="0" collapsed="false">
      <c r="A10" s="17" t="s">
        <v>135</v>
      </c>
      <c r="B10" s="17"/>
      <c r="C10" s="17"/>
      <c r="D10" s="17"/>
    </row>
    <row r="11" customFormat="false" ht="21.75" hidden="false" customHeight="true" outlineLevel="0" collapsed="false">
      <c r="A11" s="9" t="s">
        <v>136</v>
      </c>
      <c r="B11" s="40" t="n">
        <v>100</v>
      </c>
      <c r="D11" s="6" t="s">
        <v>137</v>
      </c>
    </row>
    <row r="12" customFormat="false" ht="21.75" hidden="false" customHeight="true" outlineLevel="0" collapsed="false">
      <c r="A12" s="9" t="s">
        <v>138</v>
      </c>
      <c r="B12" s="40" t="n">
        <v>900</v>
      </c>
      <c r="D12" s="6" t="s">
        <v>139</v>
      </c>
    </row>
    <row r="13" customFormat="false" ht="21.75" hidden="false" customHeight="true" outlineLevel="0" collapsed="false">
      <c r="A13" s="9" t="s">
        <v>140</v>
      </c>
      <c r="B13" s="40" t="n">
        <v>9000</v>
      </c>
      <c r="D13" s="6" t="s">
        <v>141</v>
      </c>
    </row>
    <row r="14" customFormat="false" ht="21.75" hidden="false" customHeight="true" outlineLevel="0" collapsed="false">
      <c r="A14" s="9" t="s">
        <v>142</v>
      </c>
      <c r="B14" s="40" t="n">
        <v>40000</v>
      </c>
      <c r="D14" s="6" t="s">
        <v>143</v>
      </c>
    </row>
    <row r="15" customFormat="false" ht="21.75" hidden="false" customHeight="true" outlineLevel="0" collapsed="false">
      <c r="A15" s="9" t="s">
        <v>144</v>
      </c>
      <c r="B15" s="40" t="n">
        <v>50000</v>
      </c>
      <c r="D15" s="6" t="s">
        <v>145</v>
      </c>
    </row>
    <row r="16" customFormat="false" ht="21.75" hidden="false" customHeight="true" outlineLevel="0" collapsed="false">
      <c r="A16" s="41" t="s">
        <v>146</v>
      </c>
      <c r="B16" s="42" t="n">
        <f aca="false">SUM(B11:B15)</f>
        <v>100000</v>
      </c>
      <c r="D16" s="6" t="s">
        <v>147</v>
      </c>
    </row>
    <row r="17" customFormat="false" ht="21.75" hidden="false" customHeight="true" outlineLevel="0" collapsed="false">
      <c r="A17" s="43" t="s">
        <v>148</v>
      </c>
      <c r="B17" s="43"/>
      <c r="C17" s="43"/>
      <c r="D17" s="43"/>
    </row>
    <row r="18" customFormat="false" ht="21.75" hidden="false" customHeight="true" outlineLevel="0" collapsed="false">
      <c r="A18" s="9" t="s">
        <v>149</v>
      </c>
      <c r="B18" s="15" t="n">
        <v>0.6</v>
      </c>
      <c r="D18" s="6" t="s">
        <v>150</v>
      </c>
    </row>
    <row r="19" customFormat="false" ht="21.75" hidden="false" customHeight="true" outlineLevel="0" collapsed="false">
      <c r="A19" s="9" t="s">
        <v>151</v>
      </c>
      <c r="B19" s="15" t="n">
        <v>0.2</v>
      </c>
      <c r="D19" s="6" t="s">
        <v>152</v>
      </c>
    </row>
    <row r="20" customFormat="false" ht="21.75" hidden="false" customHeight="true" outlineLevel="0" collapsed="false">
      <c r="A20" s="9" t="s">
        <v>153</v>
      </c>
      <c r="B20" s="15" t="n">
        <v>0.12</v>
      </c>
      <c r="D20" s="6" t="s">
        <v>154</v>
      </c>
    </row>
    <row r="21" customFormat="false" ht="21.75" hidden="false" customHeight="true" outlineLevel="0" collapsed="false">
      <c r="A21" s="9" t="s">
        <v>155</v>
      </c>
      <c r="B21" s="15" t="n">
        <v>0.05</v>
      </c>
      <c r="D21" s="6" t="s">
        <v>156</v>
      </c>
    </row>
    <row r="22" customFormat="false" ht="21.75" hidden="false" customHeight="true" outlineLevel="0" collapsed="false">
      <c r="A22" s="9" t="s">
        <v>157</v>
      </c>
      <c r="B22" s="15" t="n">
        <v>0.03</v>
      </c>
      <c r="D22" s="6" t="s">
        <v>158</v>
      </c>
    </row>
    <row r="23" customFormat="false" ht="21.75" hidden="false" customHeight="true" outlineLevel="0" collapsed="false">
      <c r="A23" s="41" t="s">
        <v>159</v>
      </c>
      <c r="B23" s="44" t="n">
        <f aca="false">SUM(B18:B22)</f>
        <v>1</v>
      </c>
      <c r="D23" s="6" t="s">
        <v>160</v>
      </c>
    </row>
  </sheetData>
  <mergeCells count="4">
    <mergeCell ref="A1:D1"/>
    <mergeCell ref="A3:D3"/>
    <mergeCell ref="A10:D10"/>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3" min="3" style="1" width="10"/>
  </cols>
  <sheetData>
    <row r="1" customFormat="false" ht="31.5" hidden="false" customHeight="true" outlineLevel="0" collapsed="false">
      <c r="A1" s="34" t="s">
        <v>161</v>
      </c>
      <c r="B1" s="34"/>
      <c r="C1" s="34"/>
    </row>
    <row r="3" customFormat="false" ht="15" hidden="false" customHeight="true" outlineLevel="0" collapsed="false">
      <c r="A3" s="35" t="s">
        <v>162</v>
      </c>
      <c r="B3" s="35"/>
      <c r="C3" s="35"/>
    </row>
    <row r="4" customFormat="false" ht="60" hidden="false" customHeight="true" outlineLevel="0" collapsed="false">
      <c r="A4" s="9" t="s">
        <v>163</v>
      </c>
      <c r="B4" s="45" t="s">
        <v>164</v>
      </c>
      <c r="C4" s="45"/>
    </row>
    <row r="5" customFormat="false" ht="60" hidden="false" customHeight="true" outlineLevel="0" collapsed="false">
      <c r="A5" s="9" t="s">
        <v>165</v>
      </c>
      <c r="B5" s="45" t="s">
        <v>166</v>
      </c>
      <c r="C5" s="45"/>
    </row>
    <row r="6" customFormat="false" ht="60" hidden="false" customHeight="true" outlineLevel="0" collapsed="false">
      <c r="A6" s="9" t="s">
        <v>167</v>
      </c>
      <c r="B6" s="45" t="s">
        <v>168</v>
      </c>
      <c r="C6" s="45"/>
    </row>
    <row r="7" customFormat="false" ht="60" hidden="false" customHeight="true" outlineLevel="0" collapsed="false">
      <c r="A7" s="9" t="s">
        <v>169</v>
      </c>
      <c r="B7" s="45" t="s">
        <v>170</v>
      </c>
      <c r="C7" s="45"/>
    </row>
    <row r="8" customFormat="false" ht="60" hidden="false" customHeight="true" outlineLevel="0" collapsed="false">
      <c r="A8" s="9" t="s">
        <v>171</v>
      </c>
      <c r="B8" s="45" t="s">
        <v>172</v>
      </c>
      <c r="C8" s="45"/>
    </row>
    <row r="9" customFormat="false" ht="60" hidden="false" customHeight="true" outlineLevel="0" collapsed="false">
      <c r="A9" s="9" t="s">
        <v>173</v>
      </c>
      <c r="B9" s="45" t="s">
        <v>174</v>
      </c>
      <c r="C9" s="45"/>
    </row>
    <row r="11" customFormat="false" ht="15" hidden="false" customHeight="true" outlineLevel="0" collapsed="false">
      <c r="A11" s="8" t="s">
        <v>175</v>
      </c>
      <c r="B11" s="8"/>
      <c r="C11" s="8"/>
    </row>
    <row r="12" customFormat="false" ht="36" hidden="false" customHeight="true" outlineLevel="0" collapsed="false">
      <c r="A12" s="9" t="s">
        <v>176</v>
      </c>
      <c r="B12" s="46" t="s">
        <v>177</v>
      </c>
      <c r="C12" s="46"/>
    </row>
    <row r="13" customFormat="false" ht="36" hidden="false" customHeight="true" outlineLevel="0" collapsed="false">
      <c r="A13" s="9" t="s">
        <v>178</v>
      </c>
      <c r="B13" s="46" t="s">
        <v>179</v>
      </c>
      <c r="C13" s="46"/>
    </row>
    <row r="14" customFormat="false" ht="36" hidden="false" customHeight="true" outlineLevel="0" collapsed="false">
      <c r="A14" s="9" t="s">
        <v>180</v>
      </c>
      <c r="B14" s="46" t="s">
        <v>181</v>
      </c>
      <c r="C14" s="46"/>
    </row>
    <row r="15" customFormat="false" ht="36" hidden="false" customHeight="true" outlineLevel="0" collapsed="false">
      <c r="A15" s="9" t="s">
        <v>182</v>
      </c>
      <c r="B15" s="46" t="s">
        <v>183</v>
      </c>
      <c r="C15" s="46"/>
    </row>
  </sheetData>
  <mergeCells count="13">
    <mergeCell ref="A1:C1"/>
    <mergeCell ref="A3:C3"/>
    <mergeCell ref="B4:C4"/>
    <mergeCell ref="B5:C5"/>
    <mergeCell ref="B6:C6"/>
    <mergeCell ref="B7:C7"/>
    <mergeCell ref="B8:C8"/>
    <mergeCell ref="B9:C9"/>
    <mergeCell ref="A11:C11"/>
    <mergeCell ref="B12:C12"/>
    <mergeCell ref="B13:C13"/>
    <mergeCell ref="B14:C14"/>
    <mergeCell ref="B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4" min="3" style="1" width="12"/>
    <col collapsed="false" customWidth="true" hidden="false" outlineLevel="0" max="5" min="5" style="1" width="16"/>
    <col collapsed="false" customWidth="true" hidden="false" outlineLevel="0" max="6" min="6" style="1" width="42"/>
    <col collapsed="false" customWidth="true" hidden="false" outlineLevel="0" max="7" min="7" style="1" width="34"/>
  </cols>
  <sheetData>
    <row r="1" customFormat="false" ht="31.5" hidden="false" customHeight="true" outlineLevel="0" collapsed="false">
      <c r="A1" s="7" t="s">
        <v>184</v>
      </c>
      <c r="B1" s="7"/>
      <c r="C1" s="7"/>
      <c r="D1" s="7"/>
      <c r="E1" s="7"/>
      <c r="F1" s="7"/>
      <c r="G1" s="7"/>
    </row>
    <row r="3" customFormat="false" ht="21.75" hidden="false" customHeight="true" outlineLevel="0" collapsed="false">
      <c r="A3" s="36" t="s">
        <v>185</v>
      </c>
      <c r="B3" s="36" t="s">
        <v>186</v>
      </c>
      <c r="C3" s="36" t="s">
        <v>187</v>
      </c>
      <c r="D3" s="36" t="s">
        <v>188</v>
      </c>
      <c r="E3" s="36" t="s">
        <v>189</v>
      </c>
      <c r="F3" s="36" t="s">
        <v>190</v>
      </c>
      <c r="G3" s="36" t="s">
        <v>191</v>
      </c>
    </row>
    <row r="4" customFormat="false" ht="69.75" hidden="false" customHeight="true" outlineLevel="0" collapsed="false">
      <c r="A4" s="47" t="s">
        <v>192</v>
      </c>
      <c r="B4" s="20" t="n">
        <f aca="false">'Q2 — Inputs'!B11</f>
        <v>100</v>
      </c>
      <c r="C4" s="48" t="n">
        <f aca="false">'Q2 — Inputs'!B18</f>
        <v>0.6</v>
      </c>
      <c r="D4" s="24" t="n">
        <f aca="false">C4*'Q2 — Inputs'!B6</f>
        <v>30000</v>
      </c>
      <c r="E4" s="39" t="n">
        <f aca="false">IF(B4&gt;0,D4/B4,0)</f>
        <v>300</v>
      </c>
      <c r="F4" s="49" t="s">
        <v>193</v>
      </c>
      <c r="G4" s="50" t="s">
        <v>194</v>
      </c>
    </row>
    <row r="5" customFormat="false" ht="69.75" hidden="false" customHeight="true" outlineLevel="0" collapsed="false">
      <c r="A5" s="51" t="s">
        <v>195</v>
      </c>
      <c r="B5" s="20" t="n">
        <f aca="false">'Q2 — Inputs'!B12</f>
        <v>900</v>
      </c>
      <c r="C5" s="48" t="n">
        <f aca="false">'Q2 — Inputs'!B19</f>
        <v>0.2</v>
      </c>
      <c r="D5" s="24" t="n">
        <f aca="false">C5*'Q2 — Inputs'!B6</f>
        <v>10000</v>
      </c>
      <c r="E5" s="39" t="n">
        <f aca="false">IF(B5&gt;0,D5/B5,0)</f>
        <v>11.1111111111111</v>
      </c>
      <c r="F5" s="49" t="s">
        <v>196</v>
      </c>
      <c r="G5" s="50" t="s">
        <v>197</v>
      </c>
    </row>
    <row r="6" customFormat="false" ht="69.75" hidden="false" customHeight="true" outlineLevel="0" collapsed="false">
      <c r="A6" s="52" t="s">
        <v>198</v>
      </c>
      <c r="B6" s="20" t="n">
        <f aca="false">'Q2 — Inputs'!B13</f>
        <v>9000</v>
      </c>
      <c r="C6" s="48" t="n">
        <f aca="false">'Q2 — Inputs'!B20</f>
        <v>0.12</v>
      </c>
      <c r="D6" s="24" t="n">
        <f aca="false">C6*'Q2 — Inputs'!B6</f>
        <v>6000</v>
      </c>
      <c r="E6" s="39" t="n">
        <f aca="false">IF(B6&gt;0,D6/B6,0)</f>
        <v>0.666666666666667</v>
      </c>
      <c r="F6" s="49" t="s">
        <v>199</v>
      </c>
      <c r="G6" s="50" t="s">
        <v>200</v>
      </c>
    </row>
    <row r="7" customFormat="false" ht="69.75" hidden="false" customHeight="true" outlineLevel="0" collapsed="false">
      <c r="A7" s="53" t="s">
        <v>201</v>
      </c>
      <c r="B7" s="20" t="n">
        <f aca="false">'Q2 — Inputs'!B14</f>
        <v>40000</v>
      </c>
      <c r="C7" s="48" t="n">
        <f aca="false">'Q2 — Inputs'!B21</f>
        <v>0.05</v>
      </c>
      <c r="D7" s="24" t="n">
        <f aca="false">C7*'Q2 — Inputs'!B6</f>
        <v>2500</v>
      </c>
      <c r="E7" s="39" t="n">
        <f aca="false">IF(B7&gt;0,D7/B7,0)</f>
        <v>0.0625</v>
      </c>
      <c r="F7" s="49" t="s">
        <v>202</v>
      </c>
      <c r="G7" s="50" t="s">
        <v>203</v>
      </c>
    </row>
    <row r="8" customFormat="false" ht="69.75" hidden="false" customHeight="true" outlineLevel="0" collapsed="false">
      <c r="A8" s="54" t="s">
        <v>204</v>
      </c>
      <c r="B8" s="20" t="n">
        <f aca="false">'Q2 — Inputs'!B15</f>
        <v>50000</v>
      </c>
      <c r="C8" s="48" t="n">
        <f aca="false">'Q2 — Inputs'!B22</f>
        <v>0.03</v>
      </c>
      <c r="D8" s="24" t="n">
        <f aca="false">C8*'Q2 — Inputs'!B6</f>
        <v>1500</v>
      </c>
      <c r="E8" s="39" t="n">
        <f aca="false">IF(B8&gt;0,D8/B8,0)</f>
        <v>0.03</v>
      </c>
      <c r="F8" s="49" t="s">
        <v>205</v>
      </c>
      <c r="G8" s="50" t="s">
        <v>206</v>
      </c>
    </row>
    <row r="9" customFormat="false" ht="15" hidden="false" customHeight="true" outlineLevel="0" collapsed="false">
      <c r="A9" s="55" t="s">
        <v>207</v>
      </c>
      <c r="B9" s="56" t="n">
        <f aca="false">SUM(B4:B8)</f>
        <v>100000</v>
      </c>
      <c r="C9" s="57" t="n">
        <f aca="false">SUM(C4:C8)</f>
        <v>1</v>
      </c>
      <c r="D9" s="58" t="n">
        <f aca="false">SUM(D4:D8)</f>
        <v>50000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38"/>
    <col collapsed="false" customWidth="true" hidden="false" outlineLevel="0" max="4" min="4" style="1" width="10"/>
  </cols>
  <sheetData>
    <row r="1" customFormat="false" ht="31.5" hidden="false" customHeight="true" outlineLevel="0" collapsed="false">
      <c r="A1" s="59" t="s">
        <v>208</v>
      </c>
      <c r="B1" s="59"/>
      <c r="C1" s="59"/>
      <c r="D1" s="59"/>
    </row>
    <row r="3" customFormat="false" ht="15" hidden="false" customHeight="true" outlineLevel="0" collapsed="false">
      <c r="A3" s="60" t="s">
        <v>209</v>
      </c>
      <c r="B3" s="60" t="s">
        <v>210</v>
      </c>
      <c r="C3" s="60" t="s">
        <v>211</v>
      </c>
      <c r="D3" s="60" t="s">
        <v>212</v>
      </c>
    </row>
    <row r="4" customFormat="false" ht="79.5" hidden="false" customHeight="true" outlineLevel="0" collapsed="false">
      <c r="A4" s="61" t="s">
        <v>213</v>
      </c>
      <c r="B4" s="49" t="s">
        <v>214</v>
      </c>
      <c r="C4" s="62" t="s">
        <v>215</v>
      </c>
      <c r="D4" s="63" t="s">
        <v>216</v>
      </c>
    </row>
    <row r="5" customFormat="false" ht="79.5" hidden="false" customHeight="true" outlineLevel="0" collapsed="false">
      <c r="A5" s="61" t="s">
        <v>217</v>
      </c>
      <c r="B5" s="49" t="s">
        <v>218</v>
      </c>
      <c r="C5" s="62" t="s">
        <v>219</v>
      </c>
      <c r="D5" s="63" t="s">
        <v>220</v>
      </c>
    </row>
    <row r="6" customFormat="false" ht="79.5" hidden="false" customHeight="true" outlineLevel="0" collapsed="false">
      <c r="A6" s="61" t="s">
        <v>221</v>
      </c>
      <c r="B6" s="49" t="s">
        <v>222</v>
      </c>
      <c r="C6" s="62" t="s">
        <v>223</v>
      </c>
      <c r="D6" s="63" t="s">
        <v>224</v>
      </c>
    </row>
    <row r="7" customFormat="false" ht="79.5" hidden="false" customHeight="true" outlineLevel="0" collapsed="false">
      <c r="A7" s="61" t="s">
        <v>225</v>
      </c>
      <c r="B7" s="49" t="s">
        <v>226</v>
      </c>
      <c r="C7" s="62" t="s">
        <v>227</v>
      </c>
      <c r="D7" s="63" t="s">
        <v>224</v>
      </c>
    </row>
    <row r="8" customFormat="false" ht="79.5" hidden="false" customHeight="true" outlineLevel="0" collapsed="false">
      <c r="A8" s="61" t="s">
        <v>228</v>
      </c>
      <c r="B8" s="49" t="s">
        <v>229</v>
      </c>
      <c r="C8" s="62" t="s">
        <v>230</v>
      </c>
      <c r="D8" s="63" t="s">
        <v>216</v>
      </c>
    </row>
    <row r="9" customFormat="false" ht="79.5" hidden="false" customHeight="true" outlineLevel="0" collapsed="false">
      <c r="A9" s="61" t="s">
        <v>231</v>
      </c>
      <c r="B9" s="49" t="s">
        <v>232</v>
      </c>
      <c r="C9" s="62" t="s">
        <v>233</v>
      </c>
      <c r="D9" s="63" t="s">
        <v>234</v>
      </c>
    </row>
    <row r="10" customFormat="false" ht="79.5" hidden="false" customHeight="true" outlineLevel="0" collapsed="false">
      <c r="A10" s="61" t="s">
        <v>235</v>
      </c>
      <c r="B10" s="49" t="s">
        <v>236</v>
      </c>
      <c r="C10" s="62" t="s">
        <v>237</v>
      </c>
      <c r="D10" s="63" t="s">
        <v>238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3" min="3" style="1" width="18"/>
    <col collapsed="false" customWidth="true" hidden="false" outlineLevel="0" max="4" min="4" style="1" width="10"/>
  </cols>
  <sheetData>
    <row r="1" customFormat="false" ht="31.5" hidden="false" customHeight="true" outlineLevel="0" collapsed="false">
      <c r="A1" s="34" t="s">
        <v>239</v>
      </c>
      <c r="B1" s="34"/>
      <c r="C1" s="34"/>
      <c r="D1" s="34"/>
    </row>
    <row r="3" customFormat="false" ht="15" hidden="false" customHeight="true" outlineLevel="0" collapsed="false">
      <c r="A3" s="35" t="s">
        <v>240</v>
      </c>
      <c r="B3" s="35"/>
      <c r="C3" s="35"/>
      <c r="D3" s="35"/>
    </row>
    <row r="4" customFormat="false" ht="26.25" hidden="false" customHeight="true" outlineLevel="0" collapsed="false">
      <c r="A4" s="18" t="s">
        <v>241</v>
      </c>
      <c r="B4" s="18" t="s">
        <v>242</v>
      </c>
      <c r="C4" s="18" t="s">
        <v>243</v>
      </c>
    </row>
    <row r="5" customFormat="false" ht="45" hidden="false" customHeight="true" outlineLevel="0" collapsed="false">
      <c r="A5" s="64" t="s">
        <v>244</v>
      </c>
      <c r="B5" s="37" t="s">
        <v>245</v>
      </c>
      <c r="C5" s="65" t="s">
        <v>246</v>
      </c>
      <c r="D5" s="65"/>
    </row>
    <row r="6" customFormat="false" ht="45" hidden="false" customHeight="true" outlineLevel="0" collapsed="false">
      <c r="A6" s="64" t="s">
        <v>247</v>
      </c>
      <c r="B6" s="37" t="s">
        <v>248</v>
      </c>
      <c r="C6" s="65" t="s">
        <v>249</v>
      </c>
      <c r="D6" s="65"/>
    </row>
    <row r="7" customFormat="false" ht="45" hidden="false" customHeight="true" outlineLevel="0" collapsed="false">
      <c r="A7" s="64" t="s">
        <v>250</v>
      </c>
      <c r="B7" s="37" t="s">
        <v>251</v>
      </c>
      <c r="C7" s="65" t="s">
        <v>252</v>
      </c>
      <c r="D7" s="65"/>
    </row>
    <row r="8" customFormat="false" ht="45" hidden="false" customHeight="true" outlineLevel="0" collapsed="false">
      <c r="A8" s="64" t="s">
        <v>253</v>
      </c>
      <c r="B8" s="37" t="s">
        <v>254</v>
      </c>
      <c r="C8" s="65" t="s">
        <v>255</v>
      </c>
      <c r="D8" s="65"/>
    </row>
    <row r="10" customFormat="false" ht="15" hidden="false" customHeight="true" outlineLevel="0" collapsed="false">
      <c r="A10" s="43" t="s">
        <v>256</v>
      </c>
      <c r="B10" s="43"/>
      <c r="C10" s="43"/>
      <c r="D10" s="43"/>
    </row>
    <row r="11" customFormat="false" ht="39.75" hidden="false" customHeight="true" outlineLevel="0" collapsed="false">
      <c r="A11" s="66" t="s">
        <v>257</v>
      </c>
      <c r="B11" s="66"/>
      <c r="C11" s="66"/>
      <c r="D11" s="66"/>
    </row>
    <row r="13" customFormat="false" ht="15" hidden="false" customHeight="true" outlineLevel="0" collapsed="false">
      <c r="A13" s="32" t="s">
        <v>258</v>
      </c>
      <c r="B13" s="32"/>
      <c r="C13" s="32"/>
      <c r="D13" s="32"/>
    </row>
    <row r="14" customFormat="false" ht="64.5" hidden="false" customHeight="true" outlineLevel="0" collapsed="false">
      <c r="A14" s="9" t="s">
        <v>259</v>
      </c>
      <c r="B14" s="65" t="s">
        <v>260</v>
      </c>
      <c r="C14" s="65"/>
      <c r="D14" s="65"/>
    </row>
    <row r="15" customFormat="false" ht="64.5" hidden="false" customHeight="true" outlineLevel="0" collapsed="false">
      <c r="A15" s="9" t="s">
        <v>261</v>
      </c>
      <c r="B15" s="65" t="s">
        <v>262</v>
      </c>
      <c r="C15" s="65"/>
      <c r="D15" s="65"/>
    </row>
    <row r="16" customFormat="false" ht="64.5" hidden="false" customHeight="true" outlineLevel="0" collapsed="false">
      <c r="A16" s="9" t="s">
        <v>263</v>
      </c>
      <c r="B16" s="65" t="s">
        <v>264</v>
      </c>
      <c r="C16" s="65"/>
      <c r="D16" s="65"/>
    </row>
  </sheetData>
  <mergeCells count="12">
    <mergeCell ref="A1:D1"/>
    <mergeCell ref="A3:D3"/>
    <mergeCell ref="C5:D5"/>
    <mergeCell ref="C6:D6"/>
    <mergeCell ref="C7:D7"/>
    <mergeCell ref="C8:D8"/>
    <mergeCell ref="A10:D10"/>
    <mergeCell ref="A11:D11"/>
    <mergeCell ref="A13:D13"/>
    <mergeCell ref="B14:D14"/>
    <mergeCell ref="B15:D15"/>
    <mergeCell ref="B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22"/>
    <col collapsed="false" customWidth="true" hidden="false" outlineLevel="0" max="4" min="4" style="1" width="50"/>
    <col collapsed="false" customWidth="true" hidden="false" outlineLevel="0" max="5" min="5" style="1" width="34"/>
  </cols>
  <sheetData>
    <row r="1" customFormat="false" ht="31.5" hidden="false" customHeight="true" outlineLevel="0" collapsed="false">
      <c r="A1" s="7" t="s">
        <v>265</v>
      </c>
      <c r="B1" s="7"/>
      <c r="C1" s="7"/>
      <c r="D1" s="7"/>
      <c r="E1" s="7"/>
    </row>
    <row r="3" customFormat="false" ht="15" hidden="false" customHeight="true" outlineLevel="0" collapsed="false">
      <c r="A3" s="18" t="s">
        <v>266</v>
      </c>
      <c r="B3" s="18" t="s">
        <v>267</v>
      </c>
      <c r="C3" s="18" t="s">
        <v>268</v>
      </c>
      <c r="D3" s="18" t="s">
        <v>269</v>
      </c>
      <c r="E3" s="18" t="s">
        <v>270</v>
      </c>
    </row>
    <row r="4" customFormat="false" ht="90" hidden="false" customHeight="true" outlineLevel="0" collapsed="false">
      <c r="A4" s="64" t="s">
        <v>271</v>
      </c>
      <c r="B4" s="67" t="s">
        <v>272</v>
      </c>
      <c r="C4" s="68" t="s">
        <v>273</v>
      </c>
      <c r="D4" s="50" t="s">
        <v>274</v>
      </c>
      <c r="E4" s="69" t="s">
        <v>275</v>
      </c>
    </row>
    <row r="5" customFormat="false" ht="90" hidden="false" customHeight="true" outlineLevel="0" collapsed="false">
      <c r="A5" s="64" t="s">
        <v>276</v>
      </c>
      <c r="B5" s="67" t="s">
        <v>272</v>
      </c>
      <c r="C5" s="68" t="s">
        <v>277</v>
      </c>
      <c r="D5" s="50" t="s">
        <v>278</v>
      </c>
      <c r="E5" s="69" t="s">
        <v>279</v>
      </c>
    </row>
    <row r="6" customFormat="false" ht="90" hidden="false" customHeight="true" outlineLevel="0" collapsed="false">
      <c r="A6" s="64" t="s">
        <v>280</v>
      </c>
      <c r="B6" s="67" t="s">
        <v>272</v>
      </c>
      <c r="C6" s="68" t="s">
        <v>281</v>
      </c>
      <c r="D6" s="50" t="s">
        <v>282</v>
      </c>
      <c r="E6" s="69" t="s">
        <v>283</v>
      </c>
    </row>
    <row r="7" customFormat="false" ht="90" hidden="false" customHeight="true" outlineLevel="0" collapsed="false">
      <c r="A7" s="64" t="s">
        <v>284</v>
      </c>
      <c r="B7" s="67" t="s">
        <v>272</v>
      </c>
      <c r="C7" s="68" t="s">
        <v>285</v>
      </c>
      <c r="D7" s="50" t="s">
        <v>286</v>
      </c>
      <c r="E7" s="69" t="s">
        <v>287</v>
      </c>
    </row>
    <row r="8" customFormat="false" ht="90" hidden="false" customHeight="true" outlineLevel="0" collapsed="false">
      <c r="A8" s="64" t="s">
        <v>288</v>
      </c>
      <c r="B8" s="67" t="s">
        <v>272</v>
      </c>
      <c r="C8" s="68" t="s">
        <v>289</v>
      </c>
      <c r="D8" s="50" t="s">
        <v>290</v>
      </c>
      <c r="E8" s="69" t="s">
        <v>291</v>
      </c>
    </row>
    <row r="9" customFormat="false" ht="90" hidden="false" customHeight="true" outlineLevel="0" collapsed="false">
      <c r="A9" s="64" t="s">
        <v>292</v>
      </c>
      <c r="B9" s="67" t="s">
        <v>272</v>
      </c>
      <c r="C9" s="68" t="s">
        <v>293</v>
      </c>
      <c r="D9" s="50" t="s">
        <v>294</v>
      </c>
      <c r="E9" s="69" t="s">
        <v>295</v>
      </c>
    </row>
    <row r="12" customFormat="false" ht="36" hidden="false" customHeight="true" outlineLevel="0" collapsed="false">
      <c r="A12" s="38" t="s">
        <v>296</v>
      </c>
      <c r="B12" s="38"/>
      <c r="C12" s="38"/>
      <c r="D12" s="38"/>
      <c r="E12" s="38"/>
    </row>
  </sheetData>
  <mergeCells count="2">
    <mergeCell ref="A1:E1"/>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2026-04-21T15:10:47Z</dcterms:created>
  <dc:creator>openpyxl</dc:creator>
  <dc:description/>
  <dc:language>en-US</dc:language>
  <cp:lastModifiedBy/>
  <dcterms:modified xsi:type="dcterms:W3CDTF">2026-04-22T09:32:31Z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